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is-camerapgs\Design-Files\PGS-System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245" i="1" l="1"/>
  <c r="M245" i="1"/>
  <c r="Q246" i="1"/>
  <c r="M246" i="1"/>
  <c r="Q244" i="1"/>
  <c r="M244" i="1"/>
  <c r="Q243" i="1" l="1"/>
  <c r="M243" i="1"/>
  <c r="Q242" i="1"/>
  <c r="M242" i="1"/>
  <c r="Q241" i="1"/>
  <c r="M241" i="1"/>
  <c r="M240" i="1"/>
  <c r="Q239" i="1"/>
  <c r="M239" i="1"/>
  <c r="Q238" i="1"/>
  <c r="M238" i="1"/>
  <c r="Q237" i="1"/>
  <c r="M237" i="1"/>
  <c r="Q236" i="1"/>
  <c r="M236" i="1"/>
  <c r="Q235" i="1"/>
  <c r="M235" i="1"/>
  <c r="Q234" i="1"/>
  <c r="M234" i="1"/>
  <c r="Q233" i="1"/>
  <c r="M233" i="1"/>
  <c r="Q232" i="1"/>
  <c r="M232" i="1"/>
  <c r="Q231" i="1"/>
  <c r="M231" i="1"/>
  <c r="Q230" i="1"/>
  <c r="M230" i="1"/>
  <c r="Q229" i="1"/>
  <c r="M229" i="1"/>
  <c r="Q228" i="1"/>
  <c r="M228" i="1"/>
  <c r="Q227" i="1"/>
  <c r="M227" i="1"/>
  <c r="Q226" i="1"/>
  <c r="M226" i="1"/>
  <c r="Q225" i="1"/>
  <c r="M225" i="1"/>
  <c r="Q224" i="1"/>
  <c r="M224" i="1"/>
  <c r="Q223" i="1"/>
  <c r="M223" i="1"/>
  <c r="Q222" i="1"/>
  <c r="M222" i="1"/>
  <c r="Q221" i="1"/>
  <c r="M221" i="1"/>
  <c r="Q220" i="1"/>
  <c r="M220" i="1"/>
  <c r="Q219" i="1"/>
  <c r="M219" i="1"/>
  <c r="Q218" i="1"/>
  <c r="M218" i="1"/>
  <c r="Q217" i="1"/>
  <c r="M217" i="1"/>
  <c r="Q216" i="1"/>
  <c r="M216" i="1"/>
  <c r="Q215" i="1"/>
  <c r="M215" i="1"/>
  <c r="Q214" i="1"/>
  <c r="M214" i="1"/>
  <c r="Q213" i="1"/>
  <c r="M213" i="1"/>
  <c r="Q212" i="1"/>
  <c r="M212" i="1"/>
  <c r="Q211" i="1"/>
  <c r="M211" i="1"/>
  <c r="Q210" i="1"/>
  <c r="M210" i="1"/>
  <c r="Q209" i="1"/>
  <c r="M209" i="1"/>
  <c r="Q208" i="1"/>
  <c r="M208" i="1"/>
  <c r="Q207" i="1"/>
  <c r="M207" i="1"/>
  <c r="Q206" i="1"/>
  <c r="M206" i="1"/>
  <c r="Q205" i="1"/>
  <c r="M205" i="1"/>
  <c r="Q204" i="1"/>
  <c r="M204" i="1"/>
  <c r="Q203" i="1"/>
  <c r="M203" i="1"/>
  <c r="Q202" i="1"/>
  <c r="M202" i="1"/>
  <c r="Q201" i="1"/>
  <c r="M201" i="1"/>
  <c r="Q193" i="1"/>
  <c r="M193" i="1"/>
  <c r="Q192" i="1"/>
  <c r="M192" i="1"/>
  <c r="Q191" i="1"/>
  <c r="M191" i="1"/>
  <c r="Q190" i="1"/>
  <c r="M190" i="1"/>
  <c r="Q189" i="1"/>
  <c r="M189" i="1"/>
  <c r="Q188" i="1"/>
  <c r="M188" i="1"/>
  <c r="Q187" i="1"/>
  <c r="M187" i="1"/>
  <c r="Q186" i="1"/>
  <c r="M186" i="1"/>
  <c r="Q185" i="1"/>
  <c r="M185" i="1"/>
  <c r="Q184" i="1"/>
  <c r="M184" i="1"/>
  <c r="Q183" i="1"/>
  <c r="M183" i="1"/>
  <c r="Q182" i="1"/>
  <c r="M182" i="1"/>
  <c r="Q181" i="1"/>
  <c r="M181" i="1"/>
  <c r="M180" i="1"/>
  <c r="M179" i="1"/>
  <c r="Q178" i="1"/>
  <c r="M178" i="1"/>
  <c r="Q177" i="1"/>
  <c r="M177" i="1"/>
  <c r="Q176" i="1"/>
  <c r="M176" i="1"/>
  <c r="Q175" i="1"/>
  <c r="M175" i="1"/>
  <c r="Q174" i="1"/>
  <c r="M174" i="1"/>
  <c r="M173" i="1"/>
  <c r="Q172" i="1"/>
  <c r="M172" i="1"/>
  <c r="Q171" i="1"/>
  <c r="M171" i="1"/>
  <c r="Q170" i="1"/>
  <c r="M170" i="1"/>
  <c r="Q169" i="1"/>
  <c r="M169" i="1"/>
  <c r="Q168" i="1"/>
  <c r="M168" i="1"/>
  <c r="Q167" i="1"/>
  <c r="M167" i="1"/>
  <c r="Q166" i="1"/>
  <c r="M166" i="1"/>
  <c r="Q165" i="1"/>
  <c r="M165" i="1"/>
  <c r="Q164" i="1"/>
  <c r="M164" i="1"/>
  <c r="Q163" i="1"/>
  <c r="M163" i="1"/>
  <c r="Q162" i="1"/>
  <c r="M162" i="1"/>
  <c r="Q161" i="1"/>
  <c r="M161" i="1"/>
  <c r="Q160" i="1"/>
  <c r="M160" i="1"/>
  <c r="Q159" i="1"/>
  <c r="M159" i="1"/>
  <c r="Q158" i="1"/>
  <c r="M158" i="1"/>
  <c r="Q157" i="1"/>
  <c r="M157" i="1"/>
  <c r="Q156" i="1"/>
  <c r="M156" i="1"/>
  <c r="Q155" i="1"/>
  <c r="M155" i="1"/>
  <c r="Q154" i="1"/>
  <c r="M154" i="1"/>
  <c r="Q153" i="1"/>
  <c r="M153" i="1"/>
  <c r="Q152" i="1"/>
  <c r="M152" i="1"/>
  <c r="Q151" i="1"/>
  <c r="M151" i="1"/>
  <c r="Q150" i="1"/>
  <c r="M150" i="1"/>
  <c r="Q149" i="1"/>
  <c r="M149" i="1"/>
  <c r="Q148" i="1"/>
  <c r="M148" i="1"/>
  <c r="Q147" i="1"/>
  <c r="M147" i="1"/>
  <c r="Q146" i="1"/>
  <c r="M146" i="1"/>
  <c r="Q145" i="1"/>
  <c r="M145" i="1"/>
  <c r="Q144" i="1"/>
  <c r="M144" i="1"/>
  <c r="Q143" i="1"/>
  <c r="M143" i="1"/>
  <c r="Q133" i="1"/>
  <c r="M133" i="1"/>
  <c r="Q132" i="1"/>
  <c r="M132" i="1"/>
  <c r="Q131" i="1"/>
  <c r="M131" i="1"/>
  <c r="Q130" i="1"/>
  <c r="M130" i="1"/>
  <c r="Q129" i="1"/>
  <c r="M129" i="1"/>
  <c r="Q128" i="1"/>
  <c r="M128" i="1"/>
  <c r="Q127" i="1"/>
  <c r="M127" i="1"/>
  <c r="Q126" i="1"/>
  <c r="M126" i="1"/>
  <c r="Q125" i="1"/>
  <c r="M125" i="1"/>
  <c r="Q124" i="1"/>
  <c r="M124" i="1"/>
  <c r="Q123" i="1"/>
  <c r="M123" i="1"/>
  <c r="Q122" i="1"/>
  <c r="M122" i="1"/>
  <c r="Q121" i="1"/>
  <c r="M121" i="1"/>
  <c r="M120" i="1"/>
  <c r="Q119" i="1"/>
  <c r="M119" i="1"/>
  <c r="M118" i="1"/>
  <c r="Q117" i="1"/>
  <c r="M117" i="1"/>
  <c r="Q116" i="1"/>
  <c r="M116" i="1"/>
  <c r="Q115" i="1"/>
  <c r="M115" i="1"/>
  <c r="M114" i="1"/>
  <c r="Q113" i="1"/>
  <c r="M113" i="1"/>
  <c r="Q112" i="1"/>
  <c r="M112" i="1"/>
  <c r="Q111" i="1"/>
  <c r="M111" i="1"/>
  <c r="Q110" i="1"/>
  <c r="M110" i="1"/>
  <c r="Q109" i="1"/>
  <c r="M109" i="1"/>
  <c r="Q108" i="1"/>
  <c r="M108" i="1"/>
  <c r="Q107" i="1"/>
  <c r="M107" i="1"/>
  <c r="Q106" i="1"/>
  <c r="M106" i="1"/>
  <c r="Q105" i="1"/>
  <c r="M105" i="1"/>
  <c r="Q104" i="1"/>
  <c r="M104" i="1"/>
  <c r="Q103" i="1"/>
  <c r="M103" i="1"/>
  <c r="Q102" i="1"/>
  <c r="M102" i="1"/>
  <c r="M101" i="1"/>
  <c r="Q100" i="1"/>
  <c r="M100" i="1"/>
  <c r="Q99" i="1"/>
  <c r="M99" i="1"/>
  <c r="M98" i="1"/>
  <c r="Q97" i="1"/>
  <c r="M97" i="1"/>
  <c r="Q96" i="1"/>
  <c r="M96" i="1"/>
  <c r="Q95" i="1"/>
  <c r="M95" i="1"/>
  <c r="Q94" i="1"/>
  <c r="M94" i="1"/>
  <c r="Q93" i="1"/>
  <c r="M93" i="1"/>
  <c r="Q85" i="1"/>
  <c r="M85" i="1"/>
  <c r="Q84" i="1"/>
  <c r="M84" i="1"/>
  <c r="Q83" i="1"/>
  <c r="M83" i="1"/>
  <c r="Q82" i="1"/>
  <c r="M82" i="1"/>
  <c r="M81" i="1"/>
  <c r="Q80" i="1"/>
  <c r="M80" i="1"/>
  <c r="Q79" i="1"/>
  <c r="M79" i="1"/>
  <c r="Q78" i="1"/>
  <c r="M78" i="1"/>
  <c r="Q77" i="1"/>
  <c r="M77" i="1"/>
  <c r="Q76" i="1"/>
  <c r="M76" i="1"/>
  <c r="Q75" i="1"/>
  <c r="M75" i="1"/>
  <c r="Q74" i="1"/>
  <c r="M74" i="1"/>
  <c r="Q73" i="1"/>
  <c r="M73" i="1"/>
  <c r="Q72" i="1"/>
  <c r="M72" i="1"/>
  <c r="Q71" i="1"/>
  <c r="M71" i="1"/>
  <c r="Q70" i="1"/>
  <c r="M70" i="1"/>
  <c r="Q69" i="1"/>
  <c r="M69" i="1"/>
  <c r="Q68" i="1"/>
  <c r="M68" i="1"/>
  <c r="Q67" i="1"/>
  <c r="M67" i="1"/>
  <c r="Q66" i="1"/>
  <c r="M66" i="1"/>
  <c r="Q65" i="1"/>
  <c r="M65" i="1"/>
  <c r="Q64" i="1"/>
  <c r="M64" i="1"/>
  <c r="Q63" i="1"/>
  <c r="Q86" i="1" s="1"/>
  <c r="Q87" i="1" s="1"/>
  <c r="M63" i="1"/>
  <c r="Q55" i="1"/>
  <c r="M55" i="1"/>
  <c r="Q54" i="1"/>
  <c r="M54" i="1"/>
  <c r="Q53" i="1"/>
  <c r="M53" i="1"/>
  <c r="Q52" i="1"/>
  <c r="M52" i="1"/>
  <c r="Q51" i="1"/>
  <c r="M51" i="1"/>
  <c r="Q50" i="1"/>
  <c r="M50" i="1"/>
  <c r="Q49" i="1"/>
  <c r="M49" i="1"/>
  <c r="Q48" i="1"/>
  <c r="M48" i="1"/>
  <c r="Q47" i="1"/>
  <c r="M47" i="1"/>
  <c r="Q46" i="1"/>
  <c r="M46" i="1"/>
  <c r="Q45" i="1"/>
  <c r="M45" i="1"/>
  <c r="Q44" i="1"/>
  <c r="M44" i="1"/>
  <c r="Q43" i="1"/>
  <c r="M43" i="1"/>
  <c r="Q42" i="1"/>
  <c r="M42" i="1"/>
  <c r="Q41" i="1"/>
  <c r="M41" i="1"/>
  <c r="Q40" i="1"/>
  <c r="M40" i="1"/>
  <c r="Q39" i="1"/>
  <c r="M39" i="1"/>
  <c r="Q38" i="1"/>
  <c r="M38" i="1"/>
  <c r="Q37" i="1"/>
  <c r="M37" i="1"/>
  <c r="Q36" i="1"/>
  <c r="M36" i="1"/>
  <c r="Q35" i="1"/>
  <c r="M35" i="1"/>
  <c r="Q34" i="1"/>
  <c r="M34" i="1"/>
  <c r="Q33" i="1"/>
  <c r="M33" i="1"/>
  <c r="Q32" i="1"/>
  <c r="M32" i="1"/>
  <c r="Q31" i="1"/>
  <c r="M31" i="1"/>
  <c r="Q30" i="1"/>
  <c r="M30" i="1"/>
  <c r="Q29" i="1"/>
  <c r="M29" i="1"/>
  <c r="Q28" i="1"/>
  <c r="M28" i="1"/>
  <c r="Q27" i="1"/>
  <c r="M27" i="1"/>
  <c r="Q26" i="1"/>
  <c r="M26" i="1"/>
  <c r="Q25" i="1"/>
  <c r="M25" i="1"/>
  <c r="Q24" i="1"/>
  <c r="M24" i="1"/>
  <c r="Q23" i="1"/>
  <c r="M23" i="1"/>
  <c r="Q22" i="1"/>
  <c r="M22" i="1"/>
  <c r="Q21" i="1"/>
  <c r="M21" i="1"/>
  <c r="Q20" i="1"/>
  <c r="M20" i="1"/>
  <c r="Q19" i="1"/>
  <c r="M19" i="1"/>
  <c r="Q18" i="1"/>
  <c r="M18" i="1"/>
  <c r="Q17" i="1"/>
  <c r="M17" i="1"/>
  <c r="Q16" i="1"/>
  <c r="M16" i="1"/>
  <c r="M15" i="1"/>
  <c r="Q14" i="1"/>
  <c r="M14" i="1"/>
  <c r="Q13" i="1"/>
  <c r="M13" i="1"/>
  <c r="Q12" i="1"/>
  <c r="M12" i="1"/>
  <c r="Q11" i="1"/>
  <c r="M11" i="1"/>
  <c r="Q10" i="1"/>
  <c r="M10" i="1"/>
  <c r="Q9" i="1"/>
  <c r="M9" i="1"/>
  <c r="Q8" i="1"/>
  <c r="M8" i="1"/>
  <c r="Q7" i="1"/>
  <c r="M7" i="1"/>
  <c r="Q6" i="1"/>
  <c r="M6" i="1"/>
  <c r="Q5" i="1"/>
  <c r="Q56" i="1" s="1"/>
  <c r="M5" i="1"/>
  <c r="Q194" i="1" l="1"/>
  <c r="Q195" i="1" s="1"/>
  <c r="Q247" i="1"/>
  <c r="Q248" i="1" s="1"/>
  <c r="Q134" i="1"/>
  <c r="Q135" i="1" s="1"/>
  <c r="Q57" i="1"/>
</calcChain>
</file>

<file path=xl/sharedStrings.xml><?xml version="1.0" encoding="utf-8"?>
<sst xmlns="http://schemas.openxmlformats.org/spreadsheetml/2006/main" count="2260" uniqueCount="935">
  <si>
    <t>#</t>
  </si>
  <si>
    <t xml:space="preserve">Total Component Cost </t>
  </si>
  <si>
    <t>Single Board Cost</t>
  </si>
  <si>
    <t>Item Type</t>
  </si>
  <si>
    <t>Capacitor</t>
  </si>
  <si>
    <t>Diode</t>
  </si>
  <si>
    <t>Ferrite Bead</t>
  </si>
  <si>
    <t>Modular / Ethernet Connectors</t>
  </si>
  <si>
    <t>IC</t>
  </si>
  <si>
    <t>Resistors</t>
  </si>
  <si>
    <t>Resistor</t>
  </si>
  <si>
    <t>Designator</t>
  </si>
  <si>
    <t>C218</t>
  </si>
  <si>
    <t>J1</t>
  </si>
  <si>
    <t>Q10, Q11</t>
  </si>
  <si>
    <t>R150</t>
  </si>
  <si>
    <t>R151, R152</t>
  </si>
  <si>
    <t>R153</t>
  </si>
  <si>
    <t>R154</t>
  </si>
  <si>
    <t>U17</t>
  </si>
  <si>
    <t>Description</t>
  </si>
  <si>
    <t>CAP CER 1000PF 2KV X7R 1206</t>
  </si>
  <si>
    <t>CAP CER 0.1UF 100V X7R 0603</t>
  </si>
  <si>
    <t>CAP CER 10000PF 100V X7R 0402</t>
  </si>
  <si>
    <t>CAP CER 1UF 16V X5R 0402</t>
  </si>
  <si>
    <t>CAP CER 0.1UF 16V X5R 0402</t>
  </si>
  <si>
    <t>TVS DIODE 58VWM 93.6VC SMB</t>
  </si>
  <si>
    <t>DFN1006-2 ESD Protection Devices ROHS</t>
  </si>
  <si>
    <t>FERRITE BEAD 300 OHM 0603 1LN</t>
  </si>
  <si>
    <t>Modular Connectors / Ethernet Connectors 1000Base-T RJ45 1X1 1GPoE 140W</t>
  </si>
  <si>
    <t>MOSFET N-CH 100V 15A 8VSON</t>
  </si>
  <si>
    <t>RES 0 OHM JUMPER 1/16W 0402</t>
  </si>
  <si>
    <t>RES 470 OHM 1% 1/16W 0402</t>
  </si>
  <si>
    <t>RES SMD 7.68KOHM 0.1% 1/16W 0402</t>
  </si>
  <si>
    <t>RES 0.2 OHM 1% 1W 1206</t>
  </si>
  <si>
    <t>62.5mW Thick Film Resistors 50V ±100ppm/℃ ±1% 15.8kΩ 0402 Chip Resistor - Surface Mount ROHS</t>
  </si>
  <si>
    <t>RES 11K OHM 1% 1/16W 0402</t>
  </si>
  <si>
    <t>RES 4.7K OHM 1% 1/16W 0402</t>
  </si>
  <si>
    <t>RES 75 OHM 5% 1/16W 0402</t>
  </si>
  <si>
    <t>TYPE-4, FOUR-PAIR, 8-CHANNEL POE</t>
  </si>
  <si>
    <t>Footprint</t>
  </si>
  <si>
    <t>Cap-1206</t>
  </si>
  <si>
    <t>Cap-0603</t>
  </si>
  <si>
    <t>Cap-0402</t>
  </si>
  <si>
    <t>SMB_</t>
  </si>
  <si>
    <t>DFN1006-2L_</t>
  </si>
  <si>
    <t>IND-0603 (1608 Metric)</t>
  </si>
  <si>
    <t>JK0-0229NL</t>
  </si>
  <si>
    <t>VSONP-8(3.1x3.1)</t>
  </si>
  <si>
    <t>Res-0402</t>
  </si>
  <si>
    <t>Res-1206</t>
  </si>
  <si>
    <t>56-VQFN (8x8)</t>
  </si>
  <si>
    <t>Manufacturer Part Number</t>
  </si>
  <si>
    <t>CC1206KKX7RDBB102</t>
  </si>
  <si>
    <t>CC0603KRX7R0BB104</t>
  </si>
  <si>
    <t>CC0402KRX7R0BB103</t>
  </si>
  <si>
    <t>CC0402KRX5R7BB105</t>
  </si>
  <si>
    <t>CC0402KRX5R7BB104</t>
  </si>
  <si>
    <t>SMBJ58A-13-F</t>
  </si>
  <si>
    <t>ESD9X5VU</t>
  </si>
  <si>
    <t>CSD19538Q3A</t>
  </si>
  <si>
    <t>RC0402FR-070RL</t>
  </si>
  <si>
    <t>RC0402FR-07470RL</t>
  </si>
  <si>
    <t>RT0402BRD077K68L</t>
  </si>
  <si>
    <t>PE1206FRF470R2L</t>
  </si>
  <si>
    <t>0402WGF1582TCE</t>
  </si>
  <si>
    <t>RC0402FR-0711KL</t>
  </si>
  <si>
    <t>RC0402FR-074K7L</t>
  </si>
  <si>
    <t>RC0402JR-0775RL</t>
  </si>
  <si>
    <t>TPS23881B1RTQR</t>
  </si>
  <si>
    <t>Manufacturer</t>
  </si>
  <si>
    <t>Yageo</t>
  </si>
  <si>
    <t>Diodes</t>
  </si>
  <si>
    <t>TECH PUBLIC</t>
  </si>
  <si>
    <t>Wurth Electronics</t>
  </si>
  <si>
    <t>Pulse</t>
  </si>
  <si>
    <t>Texas Instruments</t>
  </si>
  <si>
    <t>Royal Electronic Factory</t>
  </si>
  <si>
    <t>LCSC Part Number</t>
  </si>
  <si>
    <t>C23631</t>
  </si>
  <si>
    <t>C113803</t>
  </si>
  <si>
    <t>C527014</t>
  </si>
  <si>
    <t>C325464</t>
  </si>
  <si>
    <t>C106204</t>
  </si>
  <si>
    <t>C135085</t>
  </si>
  <si>
    <t>C2875160</t>
  </si>
  <si>
    <t>C478471</t>
  </si>
  <si>
    <t>C106231</t>
  </si>
  <si>
    <t>C114877</t>
  </si>
  <si>
    <t>C852919</t>
  </si>
  <si>
    <t>C723709</t>
  </si>
  <si>
    <t>C26956</t>
  </si>
  <si>
    <t>C138063</t>
  </si>
  <si>
    <t>C105871</t>
  </si>
  <si>
    <t>C137841</t>
  </si>
  <si>
    <t>1000pF</t>
  </si>
  <si>
    <t>100nF</t>
  </si>
  <si>
    <t>10nF</t>
  </si>
  <si>
    <t>1uF</t>
  </si>
  <si>
    <t>0R</t>
  </si>
  <si>
    <t>470R</t>
  </si>
  <si>
    <t>7.68K</t>
  </si>
  <si>
    <t>200mR</t>
  </si>
  <si>
    <t>DNP</t>
  </si>
  <si>
    <t>4.7K</t>
  </si>
  <si>
    <t>75R</t>
  </si>
  <si>
    <t>Quantity</t>
  </si>
  <si>
    <t xml:space="preserve"> Quantity (5 Boards)</t>
  </si>
  <si>
    <t>Value</t>
  </si>
  <si>
    <t>MOQ (5 Boards)</t>
  </si>
  <si>
    <t>Links</t>
  </si>
  <si>
    <t>Unit Cost (5 Boards)</t>
  </si>
  <si>
    <t>Total Cost (5 Boards)</t>
  </si>
  <si>
    <t xml:space="preserve"> Remarks</t>
  </si>
  <si>
    <t>-</t>
  </si>
  <si>
    <t>DO NOT PLACE</t>
  </si>
  <si>
    <t>Alternate Part Number</t>
  </si>
  <si>
    <t>C231, C232</t>
  </si>
  <si>
    <t>CAP CER 22PF 50V C0G/NPO 0402</t>
  </si>
  <si>
    <t>CC0402JRNPO9BN220</t>
  </si>
  <si>
    <t>100V 400mW Single 1.25V@150mA 8ns 300mA SOD-123 Switching Diode ROHS</t>
  </si>
  <si>
    <t>SOD-123</t>
  </si>
  <si>
    <t>1N4148W</t>
  </si>
  <si>
    <t>JSMSEMI</t>
  </si>
  <si>
    <t>FB2, FB6</t>
  </si>
  <si>
    <t>150mΩ ±25% 300Ω@100MHz 0603 Ferrite Beads ROHS</t>
  </si>
  <si>
    <t>ACMS160808A3012A</t>
  </si>
  <si>
    <t>HYHONGYEX</t>
  </si>
  <si>
    <t>R43</t>
  </si>
  <si>
    <t>RES 10K OHM 1% 1/16W 0402</t>
  </si>
  <si>
    <t>RC0402FR-0710KL</t>
  </si>
  <si>
    <t>R44, R45, R46, R47, R48, R49, R50, R51</t>
  </si>
  <si>
    <t>RES 22 OHM 1% 1/16W 0402</t>
  </si>
  <si>
    <t>RC0402FR-0722RL</t>
  </si>
  <si>
    <t>R52</t>
  </si>
  <si>
    <t>RES 1K OHM 1% 1/16W 0402</t>
  </si>
  <si>
    <t>RC0402FR-071KL</t>
  </si>
  <si>
    <t>R53</t>
  </si>
  <si>
    <t>RES 2.49K OHM 1% 1/16W 0402</t>
  </si>
  <si>
    <t>RC0402FR-072K49L</t>
  </si>
  <si>
    <t>R65</t>
  </si>
  <si>
    <t>R194</t>
  </si>
  <si>
    <t>RES 1.5K OHM 1% 1/16W 0402</t>
  </si>
  <si>
    <t>RC0402FR-071K5L</t>
  </si>
  <si>
    <t>U16</t>
  </si>
  <si>
    <t>QFN-76 Ethernet Transceivers ROHS</t>
  </si>
  <si>
    <t>QFN-76</t>
  </si>
  <si>
    <t>RTL8363NB-VB-CG</t>
  </si>
  <si>
    <t>Realtek Semicon</t>
  </si>
  <si>
    <t>Crystal</t>
  </si>
  <si>
    <t>X2</t>
  </si>
  <si>
    <t>CRYSTAL 25.0000MHZ 12PF SMD</t>
  </si>
  <si>
    <t>Q22FA12800090</t>
  </si>
  <si>
    <t>Seiko Epson</t>
  </si>
  <si>
    <t>C106203</t>
  </si>
  <si>
    <t>22PF</t>
  </si>
  <si>
    <t>C917030</t>
  </si>
  <si>
    <t>C963867</t>
  </si>
  <si>
    <t>300R</t>
  </si>
  <si>
    <t>C60490</t>
  </si>
  <si>
    <t>10K</t>
  </si>
  <si>
    <t>C114765</t>
  </si>
  <si>
    <t>22R</t>
  </si>
  <si>
    <t>C106235</t>
  </si>
  <si>
    <t>1K</t>
  </si>
  <si>
    <t>C145071</t>
  </si>
  <si>
    <t>2.49K</t>
  </si>
  <si>
    <t>C114759</t>
  </si>
  <si>
    <t>1.5K</t>
  </si>
  <si>
    <t>C2835942</t>
  </si>
  <si>
    <t>C255883</t>
  </si>
  <si>
    <t>25MHz</t>
  </si>
  <si>
    <t>C208, C209, C210, C211</t>
  </si>
  <si>
    <t>CAP CER 10000PF 50V X7R 0402</t>
  </si>
  <si>
    <t>CC0402KRX7R9BB103</t>
  </si>
  <si>
    <t>C245</t>
  </si>
  <si>
    <t>CAP ALUM 100UF 20% 100V SMD</t>
  </si>
  <si>
    <t>EEE-FK2A101AM</t>
  </si>
  <si>
    <t>Panasonic</t>
  </si>
  <si>
    <t>C246, C247, C269, C270</t>
  </si>
  <si>
    <t>CAP CER 1000PF 100V X7R 0603</t>
  </si>
  <si>
    <t>06031C102JAT2A</t>
  </si>
  <si>
    <t>Kyocera AVX</t>
  </si>
  <si>
    <t>D4</t>
  </si>
  <si>
    <t>DIODE ZENER 12V 200MW SOD323</t>
  </si>
  <si>
    <t>SOD-323</t>
  </si>
  <si>
    <t>MMSZ5242BS-7-F</t>
  </si>
  <si>
    <t>D41</t>
  </si>
  <si>
    <t>DIODE SCHOTTKY 100V 2A SMB</t>
  </si>
  <si>
    <t>B2100-13-F</t>
  </si>
  <si>
    <t>Ethernet Connectors</t>
  </si>
  <si>
    <t>J11</t>
  </si>
  <si>
    <t>CONN MOD JACK 8P8C R/A SHIELDED</t>
  </si>
  <si>
    <t>2-406549-1</t>
  </si>
  <si>
    <t>TE Connectivity</t>
  </si>
  <si>
    <t>Terminal Blocks</t>
  </si>
  <si>
    <t>J13</t>
  </si>
  <si>
    <t>TERM BLK 2P SIDE ENT 5.08MM PCB</t>
  </si>
  <si>
    <t>Phoenix Contact</t>
  </si>
  <si>
    <t>Mosfet</t>
  </si>
  <si>
    <t>Q5, Q6</t>
  </si>
  <si>
    <t>GREENBRIDGETM 2 SERIES OF HIGH-E</t>
  </si>
  <si>
    <t>12-MLP (5x4.5)</t>
  </si>
  <si>
    <t>FDMQ8205A</t>
  </si>
  <si>
    <t>ON Semiconductor / Fairchild</t>
  </si>
  <si>
    <t>BJTs</t>
  </si>
  <si>
    <t>Q7, Q8, Q9, Q12</t>
  </si>
  <si>
    <t>TRANS NPN 80V 0.5A SOT23-3</t>
  </si>
  <si>
    <t>SOT-23</t>
  </si>
  <si>
    <t>MMBTA06-7-F</t>
  </si>
  <si>
    <t>R40, R41, R42, R127</t>
  </si>
  <si>
    <t>RES 6.8K OHM 1% 1/16W 0402</t>
  </si>
  <si>
    <t>RC0402FR-076K8L</t>
  </si>
  <si>
    <t>R128, R129</t>
  </si>
  <si>
    <t>RES 20K OHM 1% 1/10W 0603</t>
  </si>
  <si>
    <t>Res-0603</t>
  </si>
  <si>
    <t>RC0603FR-0720KL</t>
  </si>
  <si>
    <t>R130, R158, R159, R160</t>
  </si>
  <si>
    <t>RES SMD 8.2K OHM 0.1% 1/16W 0402</t>
  </si>
  <si>
    <t>RT0402BRD078K2L</t>
  </si>
  <si>
    <t>R161</t>
  </si>
  <si>
    <t>100mW Thick Film Resistors 75V ±100ppm/℃ ±1% 24.9kΩ 0603 Chip Resistor - Surface Mount ROHS</t>
  </si>
  <si>
    <t>0603WAF2492T5E</t>
  </si>
  <si>
    <t>UNI-ROYAL(Uniroyal Elec)</t>
  </si>
  <si>
    <t>R162</t>
  </si>
  <si>
    <t>RES 53.6K OHM 1% 1/10W 0603</t>
  </si>
  <si>
    <t>RC0603FR-0753K6L</t>
  </si>
  <si>
    <t>R163, R164, R165, R166, R169</t>
  </si>
  <si>
    <t>RES 49.9K OHM 1% 1/10W 0603</t>
  </si>
  <si>
    <t>RC0603FR-0749K9L</t>
  </si>
  <si>
    <t>R167</t>
  </si>
  <si>
    <t>RES SMD 63.4 OHM 1% 1/10W 0603</t>
  </si>
  <si>
    <t>AC0603FR-0763R4L</t>
  </si>
  <si>
    <t>R168</t>
  </si>
  <si>
    <t>RES SMD 90.9 OHM 0.1% 1/10W 0603</t>
  </si>
  <si>
    <t>RT0603BRD0790R9L</t>
  </si>
  <si>
    <t>Potentiometer</t>
  </si>
  <si>
    <t>R170</t>
  </si>
  <si>
    <t>TRIMMER 2K OHM 0.5W PC PIN TOP</t>
  </si>
  <si>
    <t>3362P-1-202LF</t>
  </si>
  <si>
    <t>Bourns</t>
  </si>
  <si>
    <t>R171</t>
  </si>
  <si>
    <t>RES SMD 1K OHM 1% 1/10W 0603</t>
  </si>
  <si>
    <t>RC0603FR-071KL</t>
  </si>
  <si>
    <t>Transformers</t>
  </si>
  <si>
    <t>T1</t>
  </si>
  <si>
    <t>PULSE XFMR 1CT:1CT TX 1CT:1CT RX</t>
  </si>
  <si>
    <t>U18</t>
  </si>
  <si>
    <t>IC POE CNTRL 1 CHANNEL 20VQFN</t>
  </si>
  <si>
    <t>VQFN-20-EP(5x5)</t>
  </si>
  <si>
    <t>TPS2372-4RGWR</t>
  </si>
  <si>
    <t>0.1uF</t>
  </si>
  <si>
    <t>C60133</t>
  </si>
  <si>
    <t>C178569</t>
  </si>
  <si>
    <t>100uF</t>
  </si>
  <si>
    <t>C2179225</t>
  </si>
  <si>
    <t>1nF</t>
  </si>
  <si>
    <t>C151457</t>
  </si>
  <si>
    <t>C110479</t>
  </si>
  <si>
    <t>C125068</t>
  </si>
  <si>
    <t>C93940</t>
  </si>
  <si>
    <t>6.8K</t>
  </si>
  <si>
    <t>C105575</t>
  </si>
  <si>
    <t>20K</t>
  </si>
  <si>
    <t>C852943</t>
  </si>
  <si>
    <t>8.2K</t>
  </si>
  <si>
    <t>C25962</t>
  </si>
  <si>
    <t>24.9K</t>
  </si>
  <si>
    <t>C137700</t>
  </si>
  <si>
    <t>53.6K</t>
  </si>
  <si>
    <t>C114624</t>
  </si>
  <si>
    <t>49K9</t>
  </si>
  <si>
    <t>C228004</t>
  </si>
  <si>
    <t>63.4R</t>
  </si>
  <si>
    <t>C861597</t>
  </si>
  <si>
    <t>90.9R</t>
  </si>
  <si>
    <t>C111654</t>
  </si>
  <si>
    <t>2K</t>
  </si>
  <si>
    <t>C22548</t>
  </si>
  <si>
    <t>C470955</t>
  </si>
  <si>
    <t>LCSC</t>
  </si>
  <si>
    <t>C480516</t>
  </si>
  <si>
    <t>C151597</t>
  </si>
  <si>
    <t>C1, C3, C6, C7, C10, C12, C30, C38, C44</t>
  </si>
  <si>
    <t>CAP CER 10UF 10V X5R 0603</t>
  </si>
  <si>
    <t>CC0603KRX5R6BB106</t>
  </si>
  <si>
    <t>C326057</t>
  </si>
  <si>
    <t>10uF</t>
  </si>
  <si>
    <t>C2, C4, C5, C8, C9, C11, C28, C29</t>
  </si>
  <si>
    <t>CAP CER 22UF 6.3V X5R 0603</t>
  </si>
  <si>
    <t>CC0603MRX5R5BB226</t>
  </si>
  <si>
    <t>C109448</t>
  </si>
  <si>
    <t>22uF</t>
  </si>
  <si>
    <t>C13, C14, C15, C16, C18, C19, C20, C21, C22, C23, C24, C25, C26, C27, C31, C32, C40, C42, C43</t>
  </si>
  <si>
    <t>CAP CER 1UF 10V X5R 0402</t>
  </si>
  <si>
    <t>CC0402KRX5R6BB105</t>
  </si>
  <si>
    <t>C106254</t>
  </si>
  <si>
    <t>C17</t>
  </si>
  <si>
    <t>CAP CER 4.7UF 6.3V X5R 0402</t>
  </si>
  <si>
    <t>CC0402KRX5R5BB475</t>
  </si>
  <si>
    <t>C541466</t>
  </si>
  <si>
    <t>4.7uF</t>
  </si>
  <si>
    <t>C33, C36, C37</t>
  </si>
  <si>
    <t>CAP CER 0.1UF 10V X5R 0402</t>
  </si>
  <si>
    <t>CC0402KRX5R6BB104</t>
  </si>
  <si>
    <t>C129131</t>
  </si>
  <si>
    <t>C34, C35</t>
  </si>
  <si>
    <t>C39, C41</t>
  </si>
  <si>
    <t>CAP CER 2.2UF 6.3V X5R 0402</t>
  </si>
  <si>
    <t>C1005X5R0J225KTJA0E</t>
  </si>
  <si>
    <t>TDK</t>
  </si>
  <si>
    <t>C343036</t>
  </si>
  <si>
    <t>2.2uF</t>
  </si>
  <si>
    <t>D1, D2</t>
  </si>
  <si>
    <t>DFN1006-2(0402) ESD Protection Devices ROHS</t>
  </si>
  <si>
    <t>DFN1006-2L (Bi-Directional)</t>
  </si>
  <si>
    <t>ESD5451N</t>
  </si>
  <si>
    <t>C2936977</t>
  </si>
  <si>
    <t>Inductor</t>
  </si>
  <si>
    <t>L1, L2, L3, L4, L5</t>
  </si>
  <si>
    <t>4.2A 470nH 合金磁胶电感 ±20% 8A SMD,3x3mm Power Inductors ROHS</t>
  </si>
  <si>
    <t>YHNR3012-R47M</t>
  </si>
  <si>
    <t>YJYCOIN</t>
  </si>
  <si>
    <t>C20416183</t>
  </si>
  <si>
    <t>470nH</t>
  </si>
  <si>
    <t>R1, R2</t>
  </si>
  <si>
    <t>RES 100 OHM 1% 1/16W 0402</t>
  </si>
  <si>
    <t>RC0402FR-07100RL</t>
  </si>
  <si>
    <t>C106232</t>
  </si>
  <si>
    <t>100R</t>
  </si>
  <si>
    <t>R3, R20</t>
  </si>
  <si>
    <t>R4</t>
  </si>
  <si>
    <t>RES SMD 120K OHM 0.1% 1/16W 0402</t>
  </si>
  <si>
    <t>RT0402BRD07120KL</t>
  </si>
  <si>
    <t>C852501</t>
  </si>
  <si>
    <t>120K</t>
  </si>
  <si>
    <t>R5</t>
  </si>
  <si>
    <t>RES 150K OHM 0.1% 1/16W 0402</t>
  </si>
  <si>
    <t>RT0402BRD07150KL</t>
  </si>
  <si>
    <t>C852538</t>
  </si>
  <si>
    <t>150K</t>
  </si>
  <si>
    <t>R6, R7</t>
  </si>
  <si>
    <t>RES SMD 2.2K OHM 1% 1/16W 0402</t>
  </si>
  <si>
    <t>RC0402FR-072K2L</t>
  </si>
  <si>
    <t>C114762</t>
  </si>
  <si>
    <t>2.2K</t>
  </si>
  <si>
    <t>R8</t>
  </si>
  <si>
    <t>RES 47K OHM 1% 1/16W 0402</t>
  </si>
  <si>
    <t>RC0402FR-0747KL</t>
  </si>
  <si>
    <t>C93943</t>
  </si>
  <si>
    <t>47K</t>
  </si>
  <si>
    <t>R9</t>
  </si>
  <si>
    <t>R10, R14, R15, R16, R17, R18</t>
  </si>
  <si>
    <t>R11</t>
  </si>
  <si>
    <t>R19</t>
  </si>
  <si>
    <t>R21</t>
  </si>
  <si>
    <t>RES SMD 110K OHM 0.1% 1/10W 0603</t>
  </si>
  <si>
    <t>RT0603BRE07110KL</t>
  </si>
  <si>
    <t>C861631</t>
  </si>
  <si>
    <t>110K</t>
  </si>
  <si>
    <t>Switch</t>
  </si>
  <si>
    <t>SW1, SW2</t>
  </si>
  <si>
    <t>SWITCH TACTILE SPST-NO 0.05A 12V</t>
  </si>
  <si>
    <t>B3U-1000P</t>
  </si>
  <si>
    <t>Omron</t>
  </si>
  <si>
    <t>C231329</t>
  </si>
  <si>
    <t>U1</t>
  </si>
  <si>
    <t>QFN-68-EP(7x7) Power Management Specialized - PMIC ROHS</t>
  </si>
  <si>
    <t>68-QFN-(7x7)</t>
  </si>
  <si>
    <t>RK809-2</t>
  </si>
  <si>
    <t>Rockchip</t>
  </si>
  <si>
    <t>C2940552</t>
  </si>
  <si>
    <t>X1</t>
  </si>
  <si>
    <t>32.768kHz 贴片晶振 12.5pF ±20ppm ±20ppm SMD3215-2P Crystals ROHS</t>
  </si>
  <si>
    <t>SMD3215-2P</t>
  </si>
  <si>
    <t>XDMCZLNDDF-0.032768MHZ</t>
  </si>
  <si>
    <t>TAITIEN Elec</t>
  </si>
  <si>
    <t>C521573</t>
  </si>
  <si>
    <t>32.768kHz</t>
  </si>
  <si>
    <t>Power Section- RK809</t>
  </si>
  <si>
    <t>Custom</t>
  </si>
  <si>
    <t>C45, C53, C163, C173</t>
  </si>
  <si>
    <t>CAP CER 4.7UF 10V X5R 0402</t>
  </si>
  <si>
    <t>CC0402KRX5R6BB475</t>
  </si>
  <si>
    <t>C326586</t>
  </si>
  <si>
    <t>C46, C47, C48, C49, C50, C51, C52, C54, C88, C89, C90, C91, C95, C96, C97, C98, C102, C103, C106, C107, C108, C113, C114, C115, C117, C159, C162, C164, C167, C168, C169, C170, C171, C172, C174, C205, C206, C207</t>
  </si>
  <si>
    <t>CAP CER 0.1UF 10V X5R 0201</t>
  </si>
  <si>
    <t>CAP-0201</t>
  </si>
  <si>
    <t>CC0201KRX5R6BB104</t>
  </si>
  <si>
    <t>C190183</t>
  </si>
  <si>
    <t>C55</t>
  </si>
  <si>
    <t>C56, C57, C76, C77, C85, C92, C99, C104, C109</t>
  </si>
  <si>
    <t>C58, C59, C60, C61, C62, C64, C65, C66, C67, C68, C69, C79, C80, C81, C82, C83, C84, C126</t>
  </si>
  <si>
    <t>C63</t>
  </si>
  <si>
    <t>CAP CER 100PF 50V C0G/NPO 0402</t>
  </si>
  <si>
    <t>CC0402JRNPO9BN101</t>
  </si>
  <si>
    <t>C106200</t>
  </si>
  <si>
    <t>C70, C71, C72, C73, C74, C75, C116, C197</t>
  </si>
  <si>
    <t>CAP CER 1000PF 50V C0G/NP0 0402</t>
  </si>
  <si>
    <t>GRM1555C1H102JA01D</t>
  </si>
  <si>
    <t>Murata</t>
  </si>
  <si>
    <t>C76947</t>
  </si>
  <si>
    <t>C78, C86, C87, C93, C94, C100, C101, C105, C110, C111, C112</t>
  </si>
  <si>
    <t>C118</t>
  </si>
  <si>
    <t>C127</t>
  </si>
  <si>
    <t>CAP CER 1000PF 25V C0G 0402</t>
  </si>
  <si>
    <t>C1005C0G1E102JT000F</t>
  </si>
  <si>
    <t>C343059</t>
  </si>
  <si>
    <t>C128</t>
  </si>
  <si>
    <t>CAP CER 0.1UF 16V X7R 0402</t>
  </si>
  <si>
    <t>CC0402JRX7R7BB104</t>
  </si>
  <si>
    <t>C541464</t>
  </si>
  <si>
    <t>C129, C130</t>
  </si>
  <si>
    <t>CAP CER 150PF 25V X7R 0402</t>
  </si>
  <si>
    <t>CC0402KRX7R8BB151</t>
  </si>
  <si>
    <t>C541384</t>
  </si>
  <si>
    <t>150pF</t>
  </si>
  <si>
    <t>C133</t>
  </si>
  <si>
    <t>C165, C166</t>
  </si>
  <si>
    <t>CAP CER 15PF 50V C0G/NPO 0201</t>
  </si>
  <si>
    <t>Cap-0201</t>
  </si>
  <si>
    <t>CC0201JRNPO9BN150</t>
  </si>
  <si>
    <t>C277480</t>
  </si>
  <si>
    <t>15pF</t>
  </si>
  <si>
    <t>D3</t>
  </si>
  <si>
    <t>FB11</t>
  </si>
  <si>
    <t>LED</t>
  </si>
  <si>
    <t>LED2</t>
  </si>
  <si>
    <t>LED RED CLEAR CHIP SMD</t>
  </si>
  <si>
    <t>LED-0402</t>
  </si>
  <si>
    <t>XZMDK68W-2</t>
  </si>
  <si>
    <t>SunLED</t>
  </si>
  <si>
    <t>R22, R23, R91</t>
  </si>
  <si>
    <t>R24, R28, R68, R200</t>
  </si>
  <si>
    <t>R25, R26</t>
  </si>
  <si>
    <t>RES 49.9 OHM 1% 1/10W 0603</t>
  </si>
  <si>
    <t>RC0603FR-0749R9L</t>
  </si>
  <si>
    <t>C114625</t>
  </si>
  <si>
    <t>49.9R</t>
  </si>
  <si>
    <t>R27, R30, R36, R94, R95</t>
  </si>
  <si>
    <t>R29, R69</t>
  </si>
  <si>
    <t>R31, R32, R33, R34</t>
  </si>
  <si>
    <t>RES 240 OHM 1% 1/16W 0402</t>
  </si>
  <si>
    <t>RC0402FR-07240RL</t>
  </si>
  <si>
    <t>240R</t>
  </si>
  <si>
    <t>R35</t>
  </si>
  <si>
    <t>RES 240 OHM 1% 1/20W 0201</t>
  </si>
  <si>
    <t>Res-0201</t>
  </si>
  <si>
    <t>RC0201FR-07240RL</t>
  </si>
  <si>
    <t>C155745</t>
  </si>
  <si>
    <t>R37</t>
  </si>
  <si>
    <t>R38, R39, R92</t>
  </si>
  <si>
    <t>R82</t>
  </si>
  <si>
    <t>RES SMD 0R, 1%, 0.1W, 0603</t>
  </si>
  <si>
    <t>RC0603FR-070RL</t>
  </si>
  <si>
    <t>C100044</t>
  </si>
  <si>
    <t>R89</t>
  </si>
  <si>
    <t>R93, R195</t>
  </si>
  <si>
    <t>R121</t>
  </si>
  <si>
    <t>RES SMD 510 OHM 1% 1/16W 0402</t>
  </si>
  <si>
    <t>RT0402FRE07510RL</t>
  </si>
  <si>
    <t>C854355</t>
  </si>
  <si>
    <t>510R</t>
  </si>
  <si>
    <t>R156</t>
  </si>
  <si>
    <t>RES SMD 1M OHM 5% 1/16W 0402</t>
  </si>
  <si>
    <t>AF0402JR-071ML</t>
  </si>
  <si>
    <t>C144054</t>
  </si>
  <si>
    <t>1M</t>
  </si>
  <si>
    <t>R157</t>
  </si>
  <si>
    <t>RES 200 OHM 1% 1/16W 0402</t>
  </si>
  <si>
    <t>RC0402FR-07200RL</t>
  </si>
  <si>
    <t>C114764</t>
  </si>
  <si>
    <t>200R</t>
  </si>
  <si>
    <t>Tactile Switch</t>
  </si>
  <si>
    <t>SW3</t>
  </si>
  <si>
    <t>3.35mm 2.5mm Oval button 50mA Brick nogging 4.2mm 180gf 12V SMD Tactile Switches ROHS</t>
  </si>
  <si>
    <t>TSA016A2518A</t>
  </si>
  <si>
    <t>BZCN</t>
  </si>
  <si>
    <t>C2888427</t>
  </si>
  <si>
    <t>SW4, SW5</t>
  </si>
  <si>
    <t>U2</t>
  </si>
  <si>
    <t>eMMC 5.1 FBGA-153 eMMC ROHS</t>
  </si>
  <si>
    <t>FBGA-153(11.5x13)</t>
  </si>
  <si>
    <t>KLMAG1JETD-B041</t>
  </si>
  <si>
    <t>Samsung</t>
  </si>
  <si>
    <t>C499919</t>
  </si>
  <si>
    <t>U3, U4</t>
  </si>
  <si>
    <t>FBGA-96 DDR SDRAM ROHS</t>
  </si>
  <si>
    <t>96-FBGA (8x14)</t>
  </si>
  <si>
    <t>K4B4G1646E-BCNB</t>
  </si>
  <si>
    <t>C2803248</t>
  </si>
  <si>
    <t>Microcontroller</t>
  </si>
  <si>
    <t>U5</t>
  </si>
  <si>
    <t>FCCSP-409(14x14) Microcontroller Units (MCUs/MPUs/SOCs) ROHS</t>
  </si>
  <si>
    <t>FCCSP-409(14x14)</t>
  </si>
  <si>
    <t>RV1126</t>
  </si>
  <si>
    <t>C2859017</t>
  </si>
  <si>
    <t>U10</t>
  </si>
  <si>
    <t>IC FLASH 128MBIT SPI/QUAD 8SOIC</t>
  </si>
  <si>
    <t>SOIC-8 (208 mil)</t>
  </si>
  <si>
    <t>W25Q128JWSIQ</t>
  </si>
  <si>
    <t>Winbond</t>
  </si>
  <si>
    <t>C2763561</t>
  </si>
  <si>
    <t>U21</t>
  </si>
  <si>
    <t>IC INVERTER 1CH 1-INP SOT23-5</t>
  </si>
  <si>
    <t>SN74AHC1G04DBVR</t>
  </si>
  <si>
    <t>X4</t>
  </si>
  <si>
    <t>24MHz SMD Crystal Resonator 12pF ±10ppm ±30ppm -40℃~+85℃ SMD3225-4P Crystals ROHS</t>
  </si>
  <si>
    <t>X322524MOB4SI</t>
  </si>
  <si>
    <t>Yangxing Tech</t>
  </si>
  <si>
    <t>C70590</t>
  </si>
  <si>
    <t>24MHZ</t>
  </si>
  <si>
    <t>X5</t>
  </si>
  <si>
    <t>Processor - RV1126</t>
  </si>
  <si>
    <t>SOT23-5</t>
  </si>
  <si>
    <t>C130719</t>
  </si>
  <si>
    <t>C114755</t>
  </si>
  <si>
    <t>C21189</t>
  </si>
  <si>
    <t>C7465</t>
  </si>
  <si>
    <t>C137</t>
  </si>
  <si>
    <t>CAP CER 2200PF 50V X7R 0603</t>
  </si>
  <si>
    <t>CC0603KRX7R9BB222</t>
  </si>
  <si>
    <t>C107082</t>
  </si>
  <si>
    <t>2.2nF</t>
  </si>
  <si>
    <t>C138</t>
  </si>
  <si>
    <t>MLCC 3.3nF 50V X7R 0603</t>
  </si>
  <si>
    <t>0603B332K500CT</t>
  </si>
  <si>
    <t>Walsin Technologies</t>
  </si>
  <si>
    <t>C302028</t>
  </si>
  <si>
    <t>3.3nF</t>
  </si>
  <si>
    <t>C139, C140, C249, C250</t>
  </si>
  <si>
    <t>CAP CER 2.2UF 100V X7T 0805</t>
  </si>
  <si>
    <t>Cap-0805</t>
  </si>
  <si>
    <t>GRM21BD72A225KE01L</t>
  </si>
  <si>
    <t>C2981733</t>
  </si>
  <si>
    <t>C141, C251, C252</t>
  </si>
  <si>
    <t>C142, C143</t>
  </si>
  <si>
    <t>CAP CER 22UF 35V X5R 0805</t>
  </si>
  <si>
    <t>C2012X5R1V226MT000E</t>
  </si>
  <si>
    <t>TDK Corporation</t>
  </si>
  <si>
    <t>C338080</t>
  </si>
  <si>
    <t>C144</t>
  </si>
  <si>
    <t>CAP CER 56PF 50V C0G/NPO 0402</t>
  </si>
  <si>
    <t>CC0402FRNPO9BN560</t>
  </si>
  <si>
    <t>C526981</t>
  </si>
  <si>
    <t>56pF</t>
  </si>
  <si>
    <t>C198</t>
  </si>
  <si>
    <t>CAP CER 22PF 50V C0G/NP0 0402</t>
  </si>
  <si>
    <t>04025A220FAT2A</t>
  </si>
  <si>
    <t>C597022</t>
  </si>
  <si>
    <t>22pF</t>
  </si>
  <si>
    <t>C199, C200</t>
  </si>
  <si>
    <t>C201, C203, C257, C263, C265, C271, C273</t>
  </si>
  <si>
    <t>C202, C262, C264, C268, C272</t>
  </si>
  <si>
    <t>C204, C266, C274</t>
  </si>
  <si>
    <t>C253, C254</t>
  </si>
  <si>
    <t>CAP CER 22UF 25V X5R 0805</t>
  </si>
  <si>
    <t>GRM21BR61E226ME44L</t>
  </si>
  <si>
    <t>C86816</t>
  </si>
  <si>
    <t>C255</t>
  </si>
  <si>
    <t>CAP CER 270PF 50V C0G/NPO 0402</t>
  </si>
  <si>
    <t>CC0402JRNPO9BN271</t>
  </si>
  <si>
    <t>C107003</t>
  </si>
  <si>
    <t>270pF</t>
  </si>
  <si>
    <t>C256</t>
  </si>
  <si>
    <t>CAP CER 10000PF 25V X5R 0402</t>
  </si>
  <si>
    <t>CC0402KRX5R8BB103</t>
  </si>
  <si>
    <t>C576726</t>
  </si>
  <si>
    <t>0.01uF</t>
  </si>
  <si>
    <t>C258</t>
  </si>
  <si>
    <t>CAP CER 1UF 50V X5R 0603</t>
  </si>
  <si>
    <t>CL10A105KB8NNNC</t>
  </si>
  <si>
    <t>C15849</t>
  </si>
  <si>
    <t>C259</t>
  </si>
  <si>
    <t>CAP CER 12PF 50V C0G/NP0 0402</t>
  </si>
  <si>
    <t>GJM1555C1H120GB01D</t>
  </si>
  <si>
    <t>C161305</t>
  </si>
  <si>
    <t>12pF</t>
  </si>
  <si>
    <t>C260</t>
  </si>
  <si>
    <t>CAP CER 390PF 50V C0G 0402</t>
  </si>
  <si>
    <t>CGA2B2C0G1H391J050BA</t>
  </si>
  <si>
    <t>390pF</t>
  </si>
  <si>
    <t>C261, C267</t>
  </si>
  <si>
    <t>CAP CER 47PF 50V C0G/NP0 0402</t>
  </si>
  <si>
    <t>GCM1555C1H470FA16D</t>
  </si>
  <si>
    <t>C393684</t>
  </si>
  <si>
    <t>47pF</t>
  </si>
  <si>
    <t>D29</t>
  </si>
  <si>
    <t>DIODE GEN PURP 100V 250MA SOD523</t>
  </si>
  <si>
    <t>SOD-523</t>
  </si>
  <si>
    <t>BAS516,115</t>
  </si>
  <si>
    <t>Nexperia</t>
  </si>
  <si>
    <t>C10037</t>
  </si>
  <si>
    <t>L6</t>
  </si>
  <si>
    <t>2A 68uH ±20% 2.5A SMD,6.6x7.1mm Power Inductors ROHS</t>
  </si>
  <si>
    <t>PSPMAA0605H-680M-IGF</t>
  </si>
  <si>
    <t>PROD Tech</t>
  </si>
  <si>
    <t>C2983094</t>
  </si>
  <si>
    <t>68uH</t>
  </si>
  <si>
    <t>L8, L10, L11</t>
  </si>
  <si>
    <t>2.8A 2.2uH ±20% 60mΩ 4A SMD,3.4x3x1.8mm Power Inductors ROHS</t>
  </si>
  <si>
    <t>MHP0302-2R2M</t>
  </si>
  <si>
    <t>Me-TECH</t>
  </si>
  <si>
    <t>C2934937</t>
  </si>
  <si>
    <t>2.2uH</t>
  </si>
  <si>
    <t>L9</t>
  </si>
  <si>
    <t>FIXED IND 6.8UH 7A 33.4 MOHM SMD</t>
  </si>
  <si>
    <t>IHLP3232DZER6R8M11</t>
  </si>
  <si>
    <t>Vishay Dale</t>
  </si>
  <si>
    <t>C845060</t>
  </si>
  <si>
    <t>6.8uH</t>
  </si>
  <si>
    <t>LED3</t>
  </si>
  <si>
    <t>LED GREEN CLEAR CHIP SMD</t>
  </si>
  <si>
    <t>XZVG68W-2</t>
  </si>
  <si>
    <t>LED4</t>
  </si>
  <si>
    <t>LED YELLOW CLEAR CHIP SMD</t>
  </si>
  <si>
    <t>XZMYK68W-2</t>
  </si>
  <si>
    <t>MOSFET</t>
  </si>
  <si>
    <t>Q13</t>
  </si>
  <si>
    <t>MOSFET N-CH 80V 7A/23A TDSON-8-5</t>
  </si>
  <si>
    <t>PG-TDSON-8</t>
  </si>
  <si>
    <t>BSC340N08NS3G</t>
  </si>
  <si>
    <t>Infineon</t>
  </si>
  <si>
    <t>C83511</t>
  </si>
  <si>
    <t>Q14</t>
  </si>
  <si>
    <t>TO-263 MOSFETs ROHS</t>
  </si>
  <si>
    <t>TO-263</t>
  </si>
  <si>
    <t>IPB027N10N3G(UMW)</t>
  </si>
  <si>
    <t>UMW</t>
  </si>
  <si>
    <t>C19185922</t>
  </si>
  <si>
    <t>R71, R172</t>
  </si>
  <si>
    <t>RES SMD 1M OHM 1% 1/10W 0603</t>
  </si>
  <si>
    <t>RC0603FR-071ML</t>
  </si>
  <si>
    <t>C105578</t>
  </si>
  <si>
    <t>R72, R73</t>
  </si>
  <si>
    <t>RES 453K OHM 1% 1/10W 0603</t>
  </si>
  <si>
    <t>RC0603FR-07453KL</t>
  </si>
  <si>
    <t>C273765</t>
  </si>
  <si>
    <t>453K</t>
  </si>
  <si>
    <t>R74</t>
  </si>
  <si>
    <t>RES SMD 332K OHM 0.1% 1/10W 0603</t>
  </si>
  <si>
    <t>RT0603BRD07332KL</t>
  </si>
  <si>
    <t>C861329</t>
  </si>
  <si>
    <t>332K</t>
  </si>
  <si>
    <t>R75, R78</t>
  </si>
  <si>
    <t>RES SMD 100K OHM 1% 1/10W 0603</t>
  </si>
  <si>
    <t>C844916</t>
  </si>
  <si>
    <t>100K</t>
  </si>
  <si>
    <t>R76</t>
  </si>
  <si>
    <t>R77, R182</t>
  </si>
  <si>
    <t>RES SMD 1K OHM 1% 1/5W 0402</t>
  </si>
  <si>
    <t>CRCW04021K00FKEDHP</t>
  </si>
  <si>
    <t>C313354</t>
  </si>
  <si>
    <t>R90</t>
  </si>
  <si>
    <t>R118, R183, R187</t>
  </si>
  <si>
    <t>RES 20K OHM 1% 1/16W 0402</t>
  </si>
  <si>
    <t>RC0402FR-0720KL</t>
  </si>
  <si>
    <t>C93942</t>
  </si>
  <si>
    <t>R119</t>
  </si>
  <si>
    <t>RES SMD 36K OHM 1% 1/5W 0402</t>
  </si>
  <si>
    <t>RCS040236K0FKED</t>
  </si>
  <si>
    <t>36K</t>
  </si>
  <si>
    <t>R120, R185</t>
  </si>
  <si>
    <t>RES 100K OHM 1% 1/16W 0402</t>
  </si>
  <si>
    <t>RC0402FR-07100KL</t>
  </si>
  <si>
    <t>C60491</t>
  </si>
  <si>
    <t>R173</t>
  </si>
  <si>
    <t>100mW Thick Film Resistors 75V ±1% 69.8kΩ 0603 Chip Resistor - Surface Mount ROHS</t>
  </si>
  <si>
    <t>SCR0603F69K8</t>
  </si>
  <si>
    <t>VO</t>
  </si>
  <si>
    <t>C3016381</t>
  </si>
  <si>
    <t>69.8K</t>
  </si>
  <si>
    <t>R174</t>
  </si>
  <si>
    <t>RES 3.09K OHM 1% 1/8W 0805</t>
  </si>
  <si>
    <t>RES-0805</t>
  </si>
  <si>
    <t>RC0805FR-073K09L</t>
  </si>
  <si>
    <t>C274002</t>
  </si>
  <si>
    <t>3.09K</t>
  </si>
  <si>
    <t>R175</t>
  </si>
  <si>
    <t>RES 5.23K OHM 1% 1/8W 0805</t>
  </si>
  <si>
    <t>RC0805FR-075K23L</t>
  </si>
  <si>
    <t>C274009</t>
  </si>
  <si>
    <t>5.23K</t>
  </si>
  <si>
    <t>R176</t>
  </si>
  <si>
    <t>62.5mW Thick Film Resistors 50V ±100ppm/℃ ±1% 47.5kΩ 0402 Chip Resistor - Surface Mount ROHS</t>
  </si>
  <si>
    <t>0402WGF4752TCE</t>
  </si>
  <si>
    <t>Uniroyal</t>
  </si>
  <si>
    <t>C25896</t>
  </si>
  <si>
    <t>47.5K</t>
  </si>
  <si>
    <t>R177, R179</t>
  </si>
  <si>
    <t>RES 0 OHM JUMPER 1/10W 0603</t>
  </si>
  <si>
    <t>RC0603JR-070RL</t>
  </si>
  <si>
    <t>C95177</t>
  </si>
  <si>
    <t>R178</t>
  </si>
  <si>
    <t>RES 0.015 OHM 1% 1W 1206</t>
  </si>
  <si>
    <t>WSLP1206R0150FEA</t>
  </si>
  <si>
    <t>C844911</t>
  </si>
  <si>
    <t>15mR</t>
  </si>
  <si>
    <t>R180</t>
  </si>
  <si>
    <t>RES SMD 32.4K OHM 0.1% 1/8W 0805</t>
  </si>
  <si>
    <t>RT0805BRD0732K4L</t>
  </si>
  <si>
    <t>C865406</t>
  </si>
  <si>
    <t>32.4K</t>
  </si>
  <si>
    <t>R181</t>
  </si>
  <si>
    <t>RES SMD 10.4K OHM 0.1% 1/8W 0805</t>
  </si>
  <si>
    <t>RT0805BRD0710K4L</t>
  </si>
  <si>
    <t>C865135</t>
  </si>
  <si>
    <t>10.4K</t>
  </si>
  <si>
    <t>R184</t>
  </si>
  <si>
    <t>62.5mW Thick Film Resistors 50V ±100ppm/℃ ±1% 84.5kΩ 0402 Chip Resistor - Surface Mount ROHS</t>
  </si>
  <si>
    <t>0402WGF8452TCE</t>
  </si>
  <si>
    <t>C26988</t>
  </si>
  <si>
    <t>84.5k</t>
  </si>
  <si>
    <t>R186, R188</t>
  </si>
  <si>
    <t>RES 270K OHM 0.5% 1/10W 0603</t>
  </si>
  <si>
    <t>RC0603DR-07270KL</t>
  </si>
  <si>
    <t>C724006</t>
  </si>
  <si>
    <t>270K</t>
  </si>
  <si>
    <t>R189</t>
  </si>
  <si>
    <t>RES SMD 120K OHM 0.1% 1/10W 0603</t>
  </si>
  <si>
    <t>RT0603BRD07120KL</t>
  </si>
  <si>
    <t>C705720</t>
  </si>
  <si>
    <t>U7</t>
  </si>
  <si>
    <t>IC REG CTRLR BUCK 20TSSOP</t>
  </si>
  <si>
    <t>20-HTSSOP</t>
  </si>
  <si>
    <t>LM5116MHX/NOPB</t>
  </si>
  <si>
    <t>TI National Semiconductor</t>
  </si>
  <si>
    <t>C13755</t>
  </si>
  <si>
    <t>U8</t>
  </si>
  <si>
    <t>IC REG BUCK ADJ 1A 8SOPWR</t>
  </si>
  <si>
    <t>8-SO-EP_</t>
  </si>
  <si>
    <t>LM5164DDAR</t>
  </si>
  <si>
    <t>C477928</t>
  </si>
  <si>
    <t>U15</t>
  </si>
  <si>
    <t>Step-down type SOT-23-5 DC-DC Converters ROHS</t>
  </si>
  <si>
    <t>SOT-23-5</t>
  </si>
  <si>
    <t>SY8089AAAC</t>
  </si>
  <si>
    <t>Silergy</t>
  </si>
  <si>
    <t>C78988</t>
  </si>
  <si>
    <t>U19, U20</t>
  </si>
  <si>
    <t>IC REG BUCK ADJ 1A SYNC SOT25</t>
  </si>
  <si>
    <t>PAM2312AABADJ</t>
  </si>
  <si>
    <t>C157537</t>
  </si>
  <si>
    <t>Power Section - Buck_LDO</t>
  </si>
  <si>
    <t>GRM1555C1H391JA01D</t>
  </si>
  <si>
    <t>C76967</t>
  </si>
  <si>
    <t>NCD0402C1</t>
  </si>
  <si>
    <t>C130722</t>
  </si>
  <si>
    <t>NCD0402Y1</t>
  </si>
  <si>
    <t>C130721</t>
  </si>
  <si>
    <t>C132, C146, C148, C149, C151, C153, C154, C155, C156, C157, C158, C176, C177, C178, C181, C184, C190, C191, C192, C193, C212</t>
  </si>
  <si>
    <t>C134, C135</t>
  </si>
  <si>
    <t>CAP CER 1000PF 25V C0G/NPO 0603</t>
  </si>
  <si>
    <t>CAP-0603</t>
  </si>
  <si>
    <t>CC0603JRNPO8BN102</t>
  </si>
  <si>
    <t>C309470</t>
  </si>
  <si>
    <t>C136</t>
  </si>
  <si>
    <t>CAP CER 1UF 25V X5R 0603</t>
  </si>
  <si>
    <t>CC0603KRX5R8BB105</t>
  </si>
  <si>
    <t>C14664</t>
  </si>
  <si>
    <t>C145, C147, C150, C152</t>
  </si>
  <si>
    <t>C175, C179, C180, C182, C183, C194</t>
  </si>
  <si>
    <t>C185, C186, C187, C188</t>
  </si>
  <si>
    <t>C189</t>
  </si>
  <si>
    <t>CAP CER 22UF 10V X5R 0603</t>
  </si>
  <si>
    <t>CC0603MRX5R6BB226</t>
  </si>
  <si>
    <t>C195, C196</t>
  </si>
  <si>
    <t>CAP CER 47UF 25V X5R 1206</t>
  </si>
  <si>
    <t>GRM31CR61E476ME44L</t>
  </si>
  <si>
    <t>C403725</t>
  </si>
  <si>
    <t>47uF</t>
  </si>
  <si>
    <t>D14, D22</t>
  </si>
  <si>
    <t>DIODE SCHOTTKY 40V 1A SOD123</t>
  </si>
  <si>
    <t>1N5819HW-7-F</t>
  </si>
  <si>
    <t>C82544</t>
  </si>
  <si>
    <t>D15, D16, D20, D21, D33, D34</t>
  </si>
  <si>
    <t>D17, D32</t>
  </si>
  <si>
    <t>16A 20V 7V 5V@Max Unidirectional SOT-23 TVS ROHS</t>
  </si>
  <si>
    <t>Sot-23</t>
  </si>
  <si>
    <t>ESD5302F-3/TR</t>
  </si>
  <si>
    <t>WILLSEMI</t>
  </si>
  <si>
    <t>C239643</t>
  </si>
  <si>
    <t>ESD Diode</t>
  </si>
  <si>
    <t>D18, D19</t>
  </si>
  <si>
    <t>DFN1006-2L ESD Protection Devices ROHS</t>
  </si>
  <si>
    <t>ESD5471X</t>
  </si>
  <si>
    <t>C3011180</t>
  </si>
  <si>
    <t>FB1</t>
  </si>
  <si>
    <t>0603 180Ω ±25% DCR=0.09Ω 1.5A</t>
  </si>
  <si>
    <t>BLM18PG181SN1D</t>
  </si>
  <si>
    <t>C82850</t>
  </si>
  <si>
    <t>FB12, FB13</t>
  </si>
  <si>
    <t>FERRITE BEAD 1K OHM 1206 1LN</t>
  </si>
  <si>
    <t>IND-1206</t>
  </si>
  <si>
    <t>BLM31KN102SN1L</t>
  </si>
  <si>
    <t>C560056</t>
  </si>
  <si>
    <t>Wire To Board Connector</t>
  </si>
  <si>
    <t>J2</t>
  </si>
  <si>
    <t>1x4P 4P XH 1 Tin 2.5mm 4 -25℃~+85℃ Brass 3A Straight Plugin,P=2.5mm Wire To Board Connector ROHS</t>
  </si>
  <si>
    <t>XH-4A-L</t>
  </si>
  <si>
    <t>HCTL</t>
  </si>
  <si>
    <t>C2979569</t>
  </si>
  <si>
    <t>JST Connector</t>
  </si>
  <si>
    <t>J3</t>
  </si>
  <si>
    <t>1x2P XH 1 2.54mm 2.54mm Male pin 2 -25℃~+85℃ 3A Straight Straight,P=2.5mm Wire To Board / Wire To Wire Connector ROHS</t>
  </si>
  <si>
    <t>HC-XH-2A-G</t>
  </si>
  <si>
    <t>C5341201</t>
  </si>
  <si>
    <t>FFC Connector</t>
  </si>
  <si>
    <t>J4, J5</t>
  </si>
  <si>
    <t>CONN FFC BOTTOM 24POS 0.50MM R/A</t>
  </si>
  <si>
    <t>FH12-24S-0.5SH(55)</t>
  </si>
  <si>
    <t>Hirose</t>
  </si>
  <si>
    <t>C202112</t>
  </si>
  <si>
    <t>FFC / FPC Connector</t>
  </si>
  <si>
    <t>J6</t>
  </si>
  <si>
    <t>CONN FFC BOTTOM 30POS 0.5MM R/A</t>
  </si>
  <si>
    <t>TF31-30S-0.5SH(800)</t>
  </si>
  <si>
    <t>C5137133</t>
  </si>
  <si>
    <t>J7</t>
  </si>
  <si>
    <t>CONN HEADER SMD R/A 6POS 2MM</t>
  </si>
  <si>
    <t>S6B-PH-SM4-TB(LF)(SN)</t>
  </si>
  <si>
    <t>JST</t>
  </si>
  <si>
    <t>C265405</t>
  </si>
  <si>
    <t>Connectors</t>
  </si>
  <si>
    <t>J8</t>
  </si>
  <si>
    <t>CONN HEADER SMD R/A 4POS 2MM</t>
  </si>
  <si>
    <t>S4B-PH-SM4-TB(LF)(SN)</t>
  </si>
  <si>
    <t>C265102</t>
  </si>
  <si>
    <t>USB B Connector</t>
  </si>
  <si>
    <t>J9</t>
  </si>
  <si>
    <t>CONN RCPT USB2.0 MICRO B SMD R/A</t>
  </si>
  <si>
    <t>10118194-0001LF</t>
  </si>
  <si>
    <t>Amphenol FCI</t>
  </si>
  <si>
    <t>C132563</t>
  </si>
  <si>
    <t>Male Header</t>
  </si>
  <si>
    <t>J10</t>
  </si>
  <si>
    <t>Gold 250V 3A Straight Square Pins 2.5mm 3P 260℃ 6mm -40℃~+105℃ 3mm 2.54mm Plugin Black Brass 1x3P Plugin,P=2.54mm Pin Headers ROHS</t>
  </si>
  <si>
    <t>HDR1X3_</t>
  </si>
  <si>
    <t>X6511WV-03H-C60D30</t>
  </si>
  <si>
    <t>XKB</t>
  </si>
  <si>
    <t>C706875</t>
  </si>
  <si>
    <t>Microphones</t>
  </si>
  <si>
    <t>MIC1</t>
  </si>
  <si>
    <t>Omnidirectional -26dB 57dB SMD-6P,4.7x3.8mm MEMS Microphones ROHS</t>
  </si>
  <si>
    <t>LMD4737T263-OY1</t>
  </si>
  <si>
    <t>LinkMems</t>
  </si>
  <si>
    <t>C5373239</t>
  </si>
  <si>
    <t>Q1</t>
  </si>
  <si>
    <t>40V 100mW 100@10mA,1V 200mA 300MHz 300mV@50mA,5mA NPN -55℃~+150℃@(Tj) SOT-723 Bipolar Transistors - BJT ROHS</t>
  </si>
  <si>
    <t>SOT-723</t>
  </si>
  <si>
    <t>MMBT3904M</t>
  </si>
  <si>
    <t>C2923360</t>
  </si>
  <si>
    <t>Transistor</t>
  </si>
  <si>
    <t>Q4</t>
  </si>
  <si>
    <t>40V 300mW 200mA PNP SOT-23(TO-236) Bipolar Transistors - BJT ROHS</t>
  </si>
  <si>
    <t>MMBT3906</t>
  </si>
  <si>
    <t>YONGYUTAI</t>
  </si>
  <si>
    <t>C2891809</t>
  </si>
  <si>
    <t>R12, R99, R108, R116</t>
  </si>
  <si>
    <t>R13, R70, R115</t>
  </si>
  <si>
    <t>R87, R88</t>
  </si>
  <si>
    <t>RES SMD 0 OHM JUMPER 1/5W 0402</t>
  </si>
  <si>
    <t>RCS04020000Z0ED</t>
  </si>
  <si>
    <t>C844673</t>
  </si>
  <si>
    <t>R96, R97, R109</t>
  </si>
  <si>
    <t>R98</t>
  </si>
  <si>
    <t>R100, R101, R117</t>
  </si>
  <si>
    <t>R102, R103</t>
  </si>
  <si>
    <t>R104, R105</t>
  </si>
  <si>
    <t>RES 51K OHM 1% 1/16W 0402</t>
  </si>
  <si>
    <t>RC0402FR-0751KL</t>
  </si>
  <si>
    <t>C107229</t>
  </si>
  <si>
    <t>51K</t>
  </si>
  <si>
    <t>R106</t>
  </si>
  <si>
    <t>RES 18K OHM 1% 1/16W 0402</t>
  </si>
  <si>
    <t>RC0402FR-0718KL</t>
  </si>
  <si>
    <t>C138044</t>
  </si>
  <si>
    <t>18K</t>
  </si>
  <si>
    <t>R107, R110, R207</t>
  </si>
  <si>
    <t>R111</t>
  </si>
  <si>
    <t>R112, R201</t>
  </si>
  <si>
    <t>R113, R203, R204, R205, R206</t>
  </si>
  <si>
    <t>R114</t>
  </si>
  <si>
    <t>RES SMD 220 OHM 1% 1/10W 0603</t>
  </si>
  <si>
    <t>C844757</t>
  </si>
  <si>
    <t>220R</t>
  </si>
  <si>
    <t>R202</t>
  </si>
  <si>
    <t>U6</t>
  </si>
  <si>
    <t>SOP-8-EP Audio Power OpAmps ROHS</t>
  </si>
  <si>
    <t>8-SOIC-EP</t>
  </si>
  <si>
    <t>NS4110B</t>
  </si>
  <si>
    <t>Shenzhen Nsiway Tech</t>
  </si>
  <si>
    <t>C5334145</t>
  </si>
  <si>
    <t>U11, U14</t>
  </si>
  <si>
    <t>SOT-23-5 Power Distribution Switches ROHS</t>
  </si>
  <si>
    <t>SY6280AAC</t>
  </si>
  <si>
    <t>C55136</t>
  </si>
  <si>
    <t>U12, U13</t>
  </si>
  <si>
    <t>SOIC-8 Brushed DC Motor Drivers ROHS</t>
  </si>
  <si>
    <t>SOIC-8(0.154", 3.90mm Width)</t>
  </si>
  <si>
    <t>BA6208(MS)</t>
  </si>
  <si>
    <t>MSKSEMI</t>
  </si>
  <si>
    <t>C20627211</t>
  </si>
  <si>
    <t>Peripherals</t>
  </si>
  <si>
    <t>CL10A226MP8NUNE</t>
  </si>
  <si>
    <t>C86295</t>
  </si>
  <si>
    <t>Ethernet - POE</t>
  </si>
  <si>
    <t>C119, C248, C214, C215, C216, C217</t>
  </si>
  <si>
    <t>C120, C223, C233, C238, C239, C275</t>
  </si>
  <si>
    <t>C121, C124, C125, C219, C220, C221, C222, C224, C225, C226, C227, C228, C229, C230, C234, C235, C236, C237, C240, C241, C242, C243, C276</t>
  </si>
  <si>
    <t>C122, C123, C131, C213, C277</t>
  </si>
  <si>
    <t>D5, D27</t>
  </si>
  <si>
    <t>D6, D7, D8, D9, D10, D11, D12, D13, D25, D26, D30, D31</t>
  </si>
  <si>
    <t>D23, D24, D28</t>
  </si>
  <si>
    <t>FB3, FB4, FB5, FB7, FB8, FB9, FB10</t>
  </si>
  <si>
    <t>R54, R55, R58, R61, R64, R131, R132, R133, R134, R135, R136, R137, R138, R139, R140, R141, R142, R143, R144, R145, R146, R147, R148, R149</t>
  </si>
  <si>
    <t>R56, R57, R59, R60</t>
  </si>
  <si>
    <t>R62, R63, R66, R67, R122, R155</t>
  </si>
  <si>
    <t>R123, R124, R125, R126, R190, R191, R192, R193, R196, R197, R198, R199</t>
  </si>
  <si>
    <t>CRCW0603100KFKEA</t>
  </si>
  <si>
    <t>Vishay Intertech</t>
  </si>
  <si>
    <t>ERJ2RKF3602X</t>
  </si>
  <si>
    <t>C409031</t>
  </si>
  <si>
    <t>-------</t>
  </si>
  <si>
    <t>CHipsmall</t>
  </si>
  <si>
    <t>Chipsmall</t>
  </si>
  <si>
    <t>Digikey</t>
  </si>
  <si>
    <t>CRCW0603220RFKEA</t>
  </si>
  <si>
    <t>Camera</t>
  </si>
  <si>
    <t>AS-AA018AA40M2-80</t>
  </si>
  <si>
    <t>Custom Supplier</t>
  </si>
  <si>
    <t>Speaker</t>
  </si>
  <si>
    <t>XGIMI WANBO 3.5 Inch Full Frequency Speaker 15W 4 Ohm 8 Ohm Hifi Speaker Ceiling Car Home Upgrade DIY Audio Loudspeakers</t>
  </si>
  <si>
    <t>AOSIBAO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</si>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</sst>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00"/>
    <numFmt numFmtId="165" formatCode="&quot;$&quot;#,##0.00"/>
  </numFmts>
  <fonts count="1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Arial"/>
      <family val="2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65" fontId="3" fillId="3" borderId="2" xfId="0" quotePrefix="1" applyNumberFormat="1" applyFont="1" applyFill="1" applyBorder="1" applyAlignment="1">
      <alignment horizontal="center" vertical="center" wrapText="1"/>
    </xf>
    <xf numFmtId="165" fontId="3" fillId="3" borderId="6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10" fillId="2" borderId="4" xfId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vertical="center" wrapText="1"/>
    </xf>
    <xf numFmtId="0" fontId="10" fillId="0" borderId="0" xfId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top"/>
      <protection locked="0"/>
    </xf>
    <xf numFmtId="0" fontId="7" fillId="3" borderId="1" xfId="0" applyFont="1" applyFill="1" applyBorder="1" applyAlignment="1" applyProtection="1">
      <alignment horizontal="center" vertical="top"/>
      <protection locked="0"/>
    </xf>
    <xf numFmtId="0" fontId="11" fillId="5" borderId="0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Switching-Diodes_JSMSEMI-1N4148W_C917030.html" TargetMode="External"/><Relationship Id="rId21" Type="http://schemas.openxmlformats.org/officeDocument/2006/relationships/hyperlink" Target="https://www.lcsc.com/product-detail/Power-Inductors_Vishay-Intertech-IHLP3232DZER6R8M11_C845060.html" TargetMode="External"/><Relationship Id="rId42" Type="http://schemas.openxmlformats.org/officeDocument/2006/relationships/hyperlink" Target="https://www.lcsc.com/product-detail/Chip-Resistor-Surface-Mount_YAGEO-RT0805BRD0710K4L_C865135.html" TargetMode="External"/><Relationship Id="rId63" Type="http://schemas.openxmlformats.org/officeDocument/2006/relationships/hyperlink" Target="https://www.lcsc.com/product-detail/Chip-Resistor-Surface-Mount_YAGEO-RC0402FR-072K2L_C114762.html" TargetMode="External"/><Relationship Id="rId84" Type="http://schemas.openxmlformats.org/officeDocument/2006/relationships/hyperlink" Target="https://www.lcsc.com/product-detail/ESD-and-Surge-Protection-TVS-ESD_TECH-PUBLIC-ESD5451N_C2936977.html" TargetMode="External"/><Relationship Id="rId138" Type="http://schemas.openxmlformats.org/officeDocument/2006/relationships/hyperlink" Target="https://www.lcsc.com/product-detail/Current-Sense-Resistors-Shunt-Resistors_YAGEO-PE1206FRF470R2L_C723709.html" TargetMode="External"/><Relationship Id="rId159" Type="http://schemas.openxmlformats.org/officeDocument/2006/relationships/hyperlink" Target="https://www.lcsc.com/product-detail/ESD-and-Surge-Protection-TVS-ESD_TECH-PUBLIC-ESD5451N_C2936977.html" TargetMode="External"/><Relationship Id="rId170" Type="http://schemas.openxmlformats.org/officeDocument/2006/relationships/hyperlink" Target="https://www.lcsc.com/product-detail/USB-Connectors_Amphenol-ICC-10118194-0001LF_C132563.html" TargetMode="External"/><Relationship Id="rId191" Type="http://schemas.openxmlformats.org/officeDocument/2006/relationships/hyperlink" Target="https://www.lcsc.com/product-detail/Power-Distribution-Switches_Silergy-Corp-SY6280AAC_C55136.html" TargetMode="External"/><Relationship Id="rId107" Type="http://schemas.openxmlformats.org/officeDocument/2006/relationships/hyperlink" Target="https://www.lcsc.com/product-detail/Multilayer-Ceramic-Capacitors-MLCC-SMD-SMT_YAGEO-CC0603KRX7R0BB104_C113803.html" TargetMode="External"/><Relationship Id="rId11" Type="http://schemas.openxmlformats.org/officeDocument/2006/relationships/hyperlink" Target="https://www.lcsc.com/product-detail/Multilayer-Ceramic-Capacitors-MLCC-SMD-SMT_Murata-Electronics-GRM21BR61E226ME44L_C86816.html" TargetMode="External"/><Relationship Id="rId32" Type="http://schemas.openxmlformats.org/officeDocument/2006/relationships/hyperlink" Target="https://www.lcsc.com/product-detail/Chip-Resistor-Surface-Mount_YAGEO-RC0402FR-07100RL_C106232.html" TargetMode="External"/><Relationship Id="rId53" Type="http://schemas.openxmlformats.org/officeDocument/2006/relationships/hyperlink" Target="https://www.lcsc.com/product-detail/Multilayer-Ceramic-Capacitors-MLCC-SMD-SMT_YAGEO-CC0402KRX5R5BB475_C541466.html" TargetMode="External"/><Relationship Id="rId74" Type="http://schemas.openxmlformats.org/officeDocument/2006/relationships/hyperlink" Target="https://www.lcsc.com/product-detail/Multilayer-Ceramic-Capacitors-MLCC-SMD-SMT_TDK-C1005X5R0J225KTJA0E_C343036.html" TargetMode="External"/><Relationship Id="rId128" Type="http://schemas.openxmlformats.org/officeDocument/2006/relationships/hyperlink" Target="https://www.lcsc.com/product-detail/Chip-Resistor-Surface-Mount_YAGEO-RC0402FR-0722RL_C114765.html" TargetMode="External"/><Relationship Id="rId149" Type="http://schemas.openxmlformats.org/officeDocument/2006/relationships/hyperlink" Target="https://www.lcsc.com/product-detail/Crystals_Seiko-Epson-Q22FA12800090_C255883.html" TargetMode="External"/><Relationship Id="rId5" Type="http://schemas.openxmlformats.org/officeDocument/2006/relationships/hyperlink" Target="https://www.lcsc.com/product-detail/Multilayer-Ceramic-Capacitors-MLCC-SMD-SMT_TDK-C2012X5R1V226MT000E_C338080.html" TargetMode="External"/><Relationship Id="rId95" Type="http://schemas.openxmlformats.org/officeDocument/2006/relationships/hyperlink" Target="https://www.lcsc.com/product-detail/Chip-Resistor-Surface-Mount_YAGEO-RT0402FRE07510RL_C854355.html" TargetMode="External"/><Relationship Id="rId160" Type="http://schemas.openxmlformats.org/officeDocument/2006/relationships/hyperlink" Target="https://www.lcsc.com/product-detail/ESD-and-Surge-Protection-TVS-ESD_WILLSEMI-Will-Semicon-ESD5302F-3-TR_C239643.html" TargetMode="External"/><Relationship Id="rId181" Type="http://schemas.openxmlformats.org/officeDocument/2006/relationships/hyperlink" Target="https://www.lcsc.com/product-detail/Chip-Resistor-Surface-Mount_YAGEO-RC0402FR-0722RL_C114765.html" TargetMode="External"/><Relationship Id="rId22" Type="http://schemas.openxmlformats.org/officeDocument/2006/relationships/hyperlink" Target="https://www.lcsc.com/product-detail/LED-Indication-Discrete_Foshan-NationStar-Optoelectronics-NCD0402C1_C130722.html" TargetMode="External"/><Relationship Id="rId43" Type="http://schemas.openxmlformats.org/officeDocument/2006/relationships/hyperlink" Target="https://www.lcsc.com/product-detail/Chip-Resistor-Surface-Mount_UNI-ROYAL-Uniroyal-Elec-0402WGF8452TCE_C26988.html" TargetMode="External"/><Relationship Id="rId64" Type="http://schemas.openxmlformats.org/officeDocument/2006/relationships/hyperlink" Target="https://www.lcsc.com/product-detail/Chip-Resistor-Surface-Mount_YAGEO-RC0402FR-0747KL_C93943.html" TargetMode="External"/><Relationship Id="rId118" Type="http://schemas.openxmlformats.org/officeDocument/2006/relationships/hyperlink" Target="https://www.lcsc.com/product-detail/ESD-and-Surge-Protection-TVS-ESD_TECH-PUBLIC-ESD9X5VU_C2875160.html" TargetMode="External"/><Relationship Id="rId139" Type="http://schemas.openxmlformats.org/officeDocument/2006/relationships/hyperlink" Target="https://www.lcsc.com/product-detail/Chip-Resistor-Surface-Mount_UNI-ROYAL-Uniroyal-Elec-0603WAF2492T5E_C25962.html" TargetMode="External"/><Relationship Id="rId85" Type="http://schemas.openxmlformats.org/officeDocument/2006/relationships/hyperlink" Target="https://www.lcsc.com/product-detail/LED-Indication-Discrete_Foshan-NationStar-Optoelectronics-NCD0402R1_C130719.html" TargetMode="External"/><Relationship Id="rId150" Type="http://schemas.openxmlformats.org/officeDocument/2006/relationships/hyperlink" Target="https://www.lcsc.com/product-detail/Multilayer-Ceramic-Capacitors-MLCC-SMD-SMT_YAGEO-CC0201KRX5R6BB104_C190183.html" TargetMode="External"/><Relationship Id="rId171" Type="http://schemas.openxmlformats.org/officeDocument/2006/relationships/hyperlink" Target="https://www.lcsc.com/product-detail/Pin-Headers_XKB-Connection-X6511WV-03H-C60D30_C706875.html" TargetMode="External"/><Relationship Id="rId192" Type="http://schemas.openxmlformats.org/officeDocument/2006/relationships/hyperlink" Target="https://www.lcsc.com/product-detail/Chip-Resistor-Surface-Mount_PANASONIC-ERJ2RKF3602X_C409031.html" TargetMode="External"/><Relationship Id="rId12" Type="http://schemas.openxmlformats.org/officeDocument/2006/relationships/hyperlink" Target="https://www.lcsc.com/product-detail/Multilayer-Ceramic-Capacitors-MLCC-SMD-SMT_YAGEO-CC0402JRNPO9BN271_C107003.html" TargetMode="External"/><Relationship Id="rId33" Type="http://schemas.openxmlformats.org/officeDocument/2006/relationships/hyperlink" Target="https://www.lcsc.com/product-detail/Chip-Resistor-Surface-Mount_YAGEO-RC0402FR-0720KL_C93942.html" TargetMode="External"/><Relationship Id="rId108" Type="http://schemas.openxmlformats.org/officeDocument/2006/relationships/hyperlink" Target="https://www.lcsc.com/product-detail/Multilayer-Ceramic-Capacitors-MLCC-SMD-SMT_YAGEO-CC0402KRX5R7BB105_C325464.html" TargetMode="External"/><Relationship Id="rId129" Type="http://schemas.openxmlformats.org/officeDocument/2006/relationships/hyperlink" Target="https://www.lcsc.com/product-detail/Chip-Resistor-Surface-Mount_YAGEO-RC0402FR-071KL_C106235.html" TargetMode="External"/><Relationship Id="rId54" Type="http://schemas.openxmlformats.org/officeDocument/2006/relationships/hyperlink" Target="https://www.lcsc.com/product-detail/Multilayer-Ceramic-Capacitors-MLCC-SMD-SMT_YAGEO-CC0402KRX5R6BB104_C129131.html" TargetMode="External"/><Relationship Id="rId75" Type="http://schemas.openxmlformats.org/officeDocument/2006/relationships/hyperlink" Target="https://www.lcsc.com/product-detail/Multilayer-Ceramic-Capacitors-MLCC-SMD-SMT_YAGEO-CC0603KRX5R6BB106_C326057.html" TargetMode="External"/><Relationship Id="rId96" Type="http://schemas.openxmlformats.org/officeDocument/2006/relationships/hyperlink" Target="https://www.lcsc.com/product-detail/Chip-Resistor-Surface-Mount_YAGEO-AF0402JR-071ML_C144054.html" TargetMode="External"/><Relationship Id="rId140" Type="http://schemas.openxmlformats.org/officeDocument/2006/relationships/hyperlink" Target="https://www.lcsc.com/product-detail/Chip-Resistor-Surface-Mount_YAGEO-RC0603FR-0753K6L_C137700.html" TargetMode="External"/><Relationship Id="rId161" Type="http://schemas.openxmlformats.org/officeDocument/2006/relationships/hyperlink" Target="https://www.lcsc.com/product-detail/ESD-and-Surge-Protection-TVS-ESD_TECH-PUBLIC-ESD5471X_C3011180.html" TargetMode="External"/><Relationship Id="rId182" Type="http://schemas.openxmlformats.org/officeDocument/2006/relationships/hyperlink" Target="https://www.lcsc.com/product-detail/Chip-Resistor-Surface-Mount_YAGEO-RC0402FR-0751KL_C107229.html" TargetMode="External"/><Relationship Id="rId6" Type="http://schemas.openxmlformats.org/officeDocument/2006/relationships/hyperlink" Target="https://www.lcsc.com/product-detail/Multilayer-Ceramic-Capacitors-MLCC-SMD-SMT_YAGEO-CC0402FRNPO9BN560_C526981.html" TargetMode="External"/><Relationship Id="rId23" Type="http://schemas.openxmlformats.org/officeDocument/2006/relationships/hyperlink" Target="https://www.lcsc.com/product-detail/LED-Indication-Discrete_Foshan-NationStar-Optoelectronics-NCD0402Y1_C130721.html" TargetMode="External"/><Relationship Id="rId119" Type="http://schemas.openxmlformats.org/officeDocument/2006/relationships/hyperlink" Target="https://www.lcsc.com/product-detail/ESD-and-Surge-Protection-TVS-ESD_Diodes-Incorporated-SMBJ58A-13-F_C135085.html" TargetMode="External"/><Relationship Id="rId44" Type="http://schemas.openxmlformats.org/officeDocument/2006/relationships/hyperlink" Target="https://www.lcsc.com/product-detail/Chip-Resistor-Surface-Mount_YAGEO-RC0603DR-07270KL_C724006.html" TargetMode="External"/><Relationship Id="rId65" Type="http://schemas.openxmlformats.org/officeDocument/2006/relationships/hyperlink" Target="https://www.lcsc.com/product-detail/Chip-Resistor-Surface-Mount_YAGEO-RC0402FR-0710KL_C60490.html" TargetMode="External"/><Relationship Id="rId86" Type="http://schemas.openxmlformats.org/officeDocument/2006/relationships/hyperlink" Target="https://www.lcsc.com/product-detail/Chip-Resistor-Surface-Mount_YAGEO-RC0402FR-074K7L_C105871.html" TargetMode="External"/><Relationship Id="rId130" Type="http://schemas.openxmlformats.org/officeDocument/2006/relationships/hyperlink" Target="https://www.lcsc.com/product-detail/Chip-Resistor-Surface-Mount_YAGEO-RC0402FR-072K49L_C145071.html" TargetMode="External"/><Relationship Id="rId151" Type="http://schemas.openxmlformats.org/officeDocument/2006/relationships/hyperlink" Target="https://www.lcsc.com/product-detail/Multilayer-Ceramic-Capacitors-MLCC-SMD-SMT_YAGEO-CC0603JRNPO8BN102_C309470.html" TargetMode="External"/><Relationship Id="rId172" Type="http://schemas.openxmlformats.org/officeDocument/2006/relationships/hyperlink" Target="https://www.lcsc.com/product-detail/MEMS-Microphones_LinkMems-LMD4737T263-OY1_C5373239.html" TargetMode="External"/><Relationship Id="rId193" Type="http://schemas.openxmlformats.org/officeDocument/2006/relationships/hyperlink" Target="https://www.chipsmall.com/Products/742792641_11022153.html" TargetMode="External"/><Relationship Id="rId13" Type="http://schemas.openxmlformats.org/officeDocument/2006/relationships/hyperlink" Target="https://www.lcsc.com/product-detail/Multilayer-Ceramic-Capacitors-MLCC-SMD-SMT_YAGEO-CC0402KRX5R8BB103_C576726.html" TargetMode="External"/><Relationship Id="rId109" Type="http://schemas.openxmlformats.org/officeDocument/2006/relationships/hyperlink" Target="https://www.lcsc.com/product-detail/Multilayer-Ceramic-Capacitors-MLCC-SMD-SMT_YAGEO-CC0402KRX5R7BB104_C106204.html" TargetMode="External"/><Relationship Id="rId34" Type="http://schemas.openxmlformats.org/officeDocument/2006/relationships/hyperlink" Target="https://www.lcsc.com/product-detail/Chip-Resistor-Surface-Mount_YAGEO-RC0402FR-07100KL_C60491.html" TargetMode="External"/><Relationship Id="rId55" Type="http://schemas.openxmlformats.org/officeDocument/2006/relationships/hyperlink" Target="https://www.lcsc.com/product-detail/Multilayer-Ceramic-Capacitors-MLCC-SMD-SMT_YAGEO-CC0402JRNPO9BN220_C106203.html" TargetMode="External"/><Relationship Id="rId76" Type="http://schemas.openxmlformats.org/officeDocument/2006/relationships/hyperlink" Target="https://www.lcsc.com/product-detail/Multilayer-Ceramic-Capacitors-MLCC-SMD-SMT_YAGEO-CC0402KRX5R6BB104_C129131.html" TargetMode="External"/><Relationship Id="rId97" Type="http://schemas.openxmlformats.org/officeDocument/2006/relationships/hyperlink" Target="https://www.lcsc.com/product-detail/Chip-Resistor-Surface-Mount_YAGEO-RC0402FR-07200RL_C114764.html" TargetMode="External"/><Relationship Id="rId120" Type="http://schemas.openxmlformats.org/officeDocument/2006/relationships/hyperlink" Target="https://www.lcsc.com/product-detail/Schottky-Diodes_Diodes-Incorporated-B2100-13-F_C110479.html" TargetMode="External"/><Relationship Id="rId141" Type="http://schemas.openxmlformats.org/officeDocument/2006/relationships/hyperlink" Target="https://www.lcsc.com/product-detail/Chip-Resistor-Surface-Mount_YAGEO-RC0603FR-0749K9L_C114624.html" TargetMode="External"/><Relationship Id="rId7" Type="http://schemas.openxmlformats.org/officeDocument/2006/relationships/hyperlink" Target="https://www.lcsc.com/product-detail/Multilayer-Ceramic-Capacitors-MLCC-SMD-SMT_FH-Guangdong-Fenghua-Advanced-Tech-0402CG220F500NT_C190090.html" TargetMode="External"/><Relationship Id="rId162" Type="http://schemas.openxmlformats.org/officeDocument/2006/relationships/hyperlink" Target="https://www.lcsc.com/product-detail/Ferrite-Beads_Murata-Electronics-BLM18PG181SN1D_C82850.html" TargetMode="External"/><Relationship Id="rId183" Type="http://schemas.openxmlformats.org/officeDocument/2006/relationships/hyperlink" Target="https://www.lcsc.com/product-detail/Chip-Resistor-Surface-Mount_YAGEO-RC0402FR-0718KL_C138044.html" TargetMode="External"/><Relationship Id="rId2" Type="http://schemas.openxmlformats.org/officeDocument/2006/relationships/hyperlink" Target="https://www.lcsc.com/product-detail/Multilayer-Ceramic-Capacitors-MLCC-SMD-SMT_Walsin-Tech-Corp-0603B332K500CT_C302028.html" TargetMode="External"/><Relationship Id="rId29" Type="http://schemas.openxmlformats.org/officeDocument/2006/relationships/hyperlink" Target="https://www.lcsc.com/product-detail/Chip-Resistor-Surface-Mount_Vishay-Intertech-CRCW0603100KFKEA_C844916.html" TargetMode="External"/><Relationship Id="rId24" Type="http://schemas.openxmlformats.org/officeDocument/2006/relationships/hyperlink" Target="https://www.lcsc.com/product-detail/MOSFETs_Infineon-Technologies-BSC340N08NS3-G_C83511.html" TargetMode="External"/><Relationship Id="rId40" Type="http://schemas.openxmlformats.org/officeDocument/2006/relationships/hyperlink" Target="https://www.lcsc.com/product-detail/Chip-Resistor-Surface-Mount_Vishay-Intertech-WSLP1206R0150FEA_C844911.html" TargetMode="External"/><Relationship Id="rId45" Type="http://schemas.openxmlformats.org/officeDocument/2006/relationships/hyperlink" Target="https://www.lcsc.com/product-detail/Chip-Resistor-Surface-Mount_YAGEO-RT0603BRD07120KL_C705720.html" TargetMode="External"/><Relationship Id="rId66" Type="http://schemas.openxmlformats.org/officeDocument/2006/relationships/hyperlink" Target="https://www.lcsc.com/product-detail/Chip-Resistor-Surface-Mount_YAGEO-RC0402FR-0722RL_C114765.html" TargetMode="External"/><Relationship Id="rId87" Type="http://schemas.openxmlformats.org/officeDocument/2006/relationships/hyperlink" Target="https://www.lcsc.com/product-detail/Chip-Resistor-Surface-Mount_YAGEO-RC0402FR-070RL_C106231.html" TargetMode="External"/><Relationship Id="rId110" Type="http://schemas.openxmlformats.org/officeDocument/2006/relationships/hyperlink" Target="https://www.lcsc.com/product-detail/Multilayer-Ceramic-Capacitors-MLCC-SMD-SMT_YAGEO-CC1206KKX7RDBB102_C23631.html" TargetMode="External"/><Relationship Id="rId115" Type="http://schemas.openxmlformats.org/officeDocument/2006/relationships/hyperlink" Target="https://www.lcsc.com/product-detail/Multilayer-Ceramic-Capacitors-MLCC-SMD-SMT_Kyocera-AVX-06031C102JAT2A_C2179225.html" TargetMode="External"/><Relationship Id="rId131" Type="http://schemas.openxmlformats.org/officeDocument/2006/relationships/hyperlink" Target="https://www.lcsc.com/product-detail/Chip-Resistor-Surface-Mount_YAGEO-RC0402FR-070RL_C106231.html" TargetMode="External"/><Relationship Id="rId136" Type="http://schemas.openxmlformats.org/officeDocument/2006/relationships/hyperlink" Target="https://www.lcsc.com/product-detail/Chip-Resistor-Surface-Mount_YAGEO-RT0402BRD078K2L_C852943.html" TargetMode="External"/><Relationship Id="rId157" Type="http://schemas.openxmlformats.org/officeDocument/2006/relationships/hyperlink" Target="https://www.lcsc.com/product-detail/Multilayer-Ceramic-Capacitors-MLCC-SMD-SMT_Murata-Electronics-GRM31CR61E476ME44L_C403725.html" TargetMode="External"/><Relationship Id="rId178" Type="http://schemas.openxmlformats.org/officeDocument/2006/relationships/hyperlink" Target="https://www.lcsc.com/product-detail/Chip-Resistor-Surface-Mount_YAGEO-RC0402FR-070RL_C106231.html" TargetMode="External"/><Relationship Id="rId61" Type="http://schemas.openxmlformats.org/officeDocument/2006/relationships/hyperlink" Target="https://www.lcsc.com/product-detail/Chip-Resistor-Surface-Mount_YAGEO-RT0402BRD07120KL_C852501.html" TargetMode="External"/><Relationship Id="rId82" Type="http://schemas.openxmlformats.org/officeDocument/2006/relationships/hyperlink" Target="https://www.lcsc.com/product-detail/Multilayer-Ceramic-Capacitors-MLCC-SMD-SMT_YAGEO-CC0402KRX5R7BB104_C106204.html" TargetMode="External"/><Relationship Id="rId152" Type="http://schemas.openxmlformats.org/officeDocument/2006/relationships/hyperlink" Target="https://www.lcsc.com/product-detail/Multilayer-Ceramic-Capacitors-MLCC-SMD-SMT_YAGEO-CC0603KRX5R8BB105_C14664.html" TargetMode="External"/><Relationship Id="rId173" Type="http://schemas.openxmlformats.org/officeDocument/2006/relationships/hyperlink" Target="https://www.lcsc.com/product-detail/Bipolar-BJT_TECH-PUBLIC-MMBT3904M_C2923360.html" TargetMode="External"/><Relationship Id="rId194" Type="http://schemas.openxmlformats.org/officeDocument/2006/relationships/hyperlink" Target="https://www.chipsmall.com/Products/742792641_11022153.html" TargetMode="External"/><Relationship Id="rId199" Type="http://schemas.openxmlformats.org/officeDocument/2006/relationships/hyperlink" Target="https://www.lcsc.com/product-detail/Brushed-DC-Motor-Drivers_MSKSEMI-BA6208-MS_C20627211.html" TargetMode="External"/><Relationship Id="rId19" Type="http://schemas.openxmlformats.org/officeDocument/2006/relationships/hyperlink" Target="https://www.lcsc.com/product-detail/Power-Inductors_PROD-Tech-PSPMAA0605H-680M-IGF_C2983094.html" TargetMode="External"/><Relationship Id="rId14" Type="http://schemas.openxmlformats.org/officeDocument/2006/relationships/hyperlink" Target="https://www.lcsc.com/product-detail/Multilayer-Ceramic-Capacitors-MLCC-SMD-SMT_Samsung-Electro-Mechanics-CL10A105KB8NNNC_C15849.html" TargetMode="External"/><Relationship Id="rId30" Type="http://schemas.openxmlformats.org/officeDocument/2006/relationships/hyperlink" Target="https://www.lcsc.com/product-detail/Chip-Resistor-Surface-Mount_YAGEO-RC0603FR-0749K9L_C114624.html" TargetMode="External"/><Relationship Id="rId35" Type="http://schemas.openxmlformats.org/officeDocument/2006/relationships/hyperlink" Target="https://www.lcsc.com/product-detail/Chip-Resistor-Surface-Mount_VO-SCR0603F69K8_C3016381.html" TargetMode="External"/><Relationship Id="rId56" Type="http://schemas.openxmlformats.org/officeDocument/2006/relationships/hyperlink" Target="https://www.lcsc.com/product-detail/Multilayer-Ceramic-Capacitors-MLCC-SMD-SMT_TDK-C1005X5R0J225KTJA0E_C343036.html" TargetMode="External"/><Relationship Id="rId77" Type="http://schemas.openxmlformats.org/officeDocument/2006/relationships/hyperlink" Target="https://www.lcsc.com/product-detail/Multilayer-Ceramic-Capacitors-MLCC-SMD-SMT_Murata-Electronics-GRM1555C1H102JA01D_C76947.html" TargetMode="External"/><Relationship Id="rId100" Type="http://schemas.openxmlformats.org/officeDocument/2006/relationships/hyperlink" Target="https://www.lcsc.com/product-detail/eMMC_Samsung-KLMAG1JETD-B041_C499919.html" TargetMode="External"/><Relationship Id="rId105" Type="http://schemas.openxmlformats.org/officeDocument/2006/relationships/hyperlink" Target="https://www.lcsc.com/product-detail/Crystals_YXC-Crystal-Oscillators-X322524MOB4SI_C70590.html" TargetMode="External"/><Relationship Id="rId126" Type="http://schemas.openxmlformats.org/officeDocument/2006/relationships/hyperlink" Target="https://www.lcsc.com/product-detail/Chip-Resistor-Surface-Mount_YAGEO-RC0402FR-076K8L_C93940.html" TargetMode="External"/><Relationship Id="rId147" Type="http://schemas.openxmlformats.org/officeDocument/2006/relationships/hyperlink" Target="https://www.lcsc.com/product-detail/Ethernet-Transceivers_Realtek-Semicon-RTL8363NB-VB-CG_C2835942.html" TargetMode="External"/><Relationship Id="rId168" Type="http://schemas.openxmlformats.org/officeDocument/2006/relationships/hyperlink" Target="https://www.lcsc.com/product-detail/Wire-To-Board-Connector_JST-S6B-PH-SM4-TB-LF-SN_C265405.html" TargetMode="External"/><Relationship Id="rId8" Type="http://schemas.openxmlformats.org/officeDocument/2006/relationships/hyperlink" Target="https://www.lcsc.com/product-detail/Multilayer-Ceramic-Capacitors-MLCC-SMD-SMT_YAGEO-CC0603MRX5R5BB226_C109448.html" TargetMode="External"/><Relationship Id="rId51" Type="http://schemas.openxmlformats.org/officeDocument/2006/relationships/hyperlink" Target="https://www.lcsc.com/product-detail/Multilayer-Ceramic-Capacitors-MLCC-SMD-SMT_YAGEO-CC0603MRX5R5BB226_C109448.html" TargetMode="External"/><Relationship Id="rId72" Type="http://schemas.openxmlformats.org/officeDocument/2006/relationships/hyperlink" Target="https://www.lcsc.com/product-detail/Multilayer-Ceramic-Capacitors-MLCC-SMD-SMT_YAGEO-CC0402KRX5R6BB475_C326586.html" TargetMode="External"/><Relationship Id="rId93" Type="http://schemas.openxmlformats.org/officeDocument/2006/relationships/hyperlink" Target="https://www.lcsc.com/product-detail/Chip-Resistor-Surface-Mount_UNI-ROYAL-Uniroyal-Elec-0603WAF0000T5E_C21189.html" TargetMode="External"/><Relationship Id="rId98" Type="http://schemas.openxmlformats.org/officeDocument/2006/relationships/hyperlink" Target="https://www.lcsc.com/product-detail/Tactile-Switches_BZCN-TSA016A2518A_C2888427.html" TargetMode="External"/><Relationship Id="rId121" Type="http://schemas.openxmlformats.org/officeDocument/2006/relationships/hyperlink" Target="https://www.lcsc.com/product-detail/Ferrite-Beads_HYHONGYEX-ACMS160808A3012A_C963867.html" TargetMode="External"/><Relationship Id="rId142" Type="http://schemas.openxmlformats.org/officeDocument/2006/relationships/hyperlink" Target="https://www.lcsc.com/product-detail/Chip-Resistor-Surface-Mount_YAGEO-AC0603FR-0763R4L_C228004.html" TargetMode="External"/><Relationship Id="rId163" Type="http://schemas.openxmlformats.org/officeDocument/2006/relationships/hyperlink" Target="https://www.lcsc.com/product-detail/Ferrite-Beads_Murata-Electronics-BLM31KN102SN1L_C560056.html" TargetMode="External"/><Relationship Id="rId184" Type="http://schemas.openxmlformats.org/officeDocument/2006/relationships/hyperlink" Target="https://www.lcsc.com/product-detail/Chip-Resistor-Surface-Mount_YAGEO-RC0402FR-07100RL_C106232.html" TargetMode="External"/><Relationship Id="rId189" Type="http://schemas.openxmlformats.org/officeDocument/2006/relationships/hyperlink" Target="https://www.lcsc.com/product-detail/Microcontrollers-MCU-MPU-SOC_Rockchip-RV1126_C2859017.html" TargetMode="External"/><Relationship Id="rId3" Type="http://schemas.openxmlformats.org/officeDocument/2006/relationships/hyperlink" Target="https://www.lcsc.com/product-detail/Multilayer-Ceramic-Capacitors-MLCC-SMD-SMT_Murata-Electronics-GRM21BD72A225KE01L_C2981733.html" TargetMode="External"/><Relationship Id="rId25" Type="http://schemas.openxmlformats.org/officeDocument/2006/relationships/hyperlink" Target="https://www.lcsc.com/product-detail/MOSFETs_UMW-Youtai-Semiconductor-Co-Ltd-IPB027N10N3G-UMW_C19185922.html" TargetMode="External"/><Relationship Id="rId46" Type="http://schemas.openxmlformats.org/officeDocument/2006/relationships/hyperlink" Target="https://www.lcsc.com/product-detail/DC-DC-Converters_Texas-Instruments-LM5116MHX-NOPB_C13755.html" TargetMode="External"/><Relationship Id="rId67" Type="http://schemas.openxmlformats.org/officeDocument/2006/relationships/hyperlink" Target="https://www.lcsc.com/product-detail/Chip-Resistor-Surface-Mount_YAGEO-RC0402FR-074K7L_C105871.html" TargetMode="External"/><Relationship Id="rId116" Type="http://schemas.openxmlformats.org/officeDocument/2006/relationships/hyperlink" Target="https://www.lcsc.com/product-detail/Zener-Diodes_Diodes-Incorporated-MMSZ5242BS-7-F_C151457.html" TargetMode="External"/><Relationship Id="rId137" Type="http://schemas.openxmlformats.org/officeDocument/2006/relationships/hyperlink" Target="https://www.lcsc.com/product-detail/Chip-Resistor-Surface-Mount_YAGEO-RT0402BRD077K68L_C852919.html" TargetMode="External"/><Relationship Id="rId158" Type="http://schemas.openxmlformats.org/officeDocument/2006/relationships/hyperlink" Target="https://www.lcsc.com/product-detail/Schottky-Diodes_Diodes-Incorporated-1N5819HW-7-F_C82544.html" TargetMode="External"/><Relationship Id="rId20" Type="http://schemas.openxmlformats.org/officeDocument/2006/relationships/hyperlink" Target="https://www.lcsc.com/product-detail/Power-Inductors_Me-TECH-MHP0302-2R2M_C2934937.html" TargetMode="External"/><Relationship Id="rId41" Type="http://schemas.openxmlformats.org/officeDocument/2006/relationships/hyperlink" Target="https://www.lcsc.com/product-detail/Chip-Resistor-Surface-Mount_YAGEO-RT0805BRD0732K4L_C865406.html" TargetMode="External"/><Relationship Id="rId62" Type="http://schemas.openxmlformats.org/officeDocument/2006/relationships/hyperlink" Target="https://www.lcsc.com/product-detail/Chip-Resistor-Surface-Mount_YAGEO-RT0402BRD07150KL_C852538.html" TargetMode="External"/><Relationship Id="rId83" Type="http://schemas.openxmlformats.org/officeDocument/2006/relationships/hyperlink" Target="https://www.lcsc.com/product-detail/Multilayer-Ceramic-Capacitors-MLCC-SMD-SMT_YAGEO-CC0201JRNPO9BN150_C277480.html" TargetMode="External"/><Relationship Id="rId88" Type="http://schemas.openxmlformats.org/officeDocument/2006/relationships/hyperlink" Target="https://www.lcsc.com/product-detail/Chip-Resistor-Surface-Mount_YAGEO-RC0603FR-0749R9L_C114625.html" TargetMode="External"/><Relationship Id="rId111" Type="http://schemas.openxmlformats.org/officeDocument/2006/relationships/hyperlink" Target="https://www.lcsc.com/product-detail/Multilayer-Ceramic-Capacitors-MLCC-SMD-SMT_YAGEO-CC0402KRX7R9BB103_C60133.html" TargetMode="External"/><Relationship Id="rId132" Type="http://schemas.openxmlformats.org/officeDocument/2006/relationships/hyperlink" Target="https://www.lcsc.com/product-detail/Chip-Resistor-Surface-Mount_YAGEO-RC0402FR-07470RL_C114877.html" TargetMode="External"/><Relationship Id="rId153" Type="http://schemas.openxmlformats.org/officeDocument/2006/relationships/hyperlink" Target="https://www.lcsc.com/product-detail/Multilayer-Ceramic-Capacitors-MLCC-SMD-SMT_YAGEO-CC0603KRX5R6BB106_C326057.html" TargetMode="External"/><Relationship Id="rId174" Type="http://schemas.openxmlformats.org/officeDocument/2006/relationships/hyperlink" Target="https://www.lcsc.com/product-detail/Bipolar-BJT_YONGYUTAI-MMBT3906_C2891809.html" TargetMode="External"/><Relationship Id="rId179" Type="http://schemas.openxmlformats.org/officeDocument/2006/relationships/hyperlink" Target="https://www.lcsc.com/product-detail/Chip-Resistor-Surface-Mount_YAGEO-RC0402FR-076K8L_C93940.html" TargetMode="External"/><Relationship Id="rId195" Type="http://schemas.openxmlformats.org/officeDocument/2006/relationships/hyperlink" Target="https://www.chipsmall.com/Products/JK0-0229NL_10560310.html" TargetMode="External"/><Relationship Id="rId190" Type="http://schemas.openxmlformats.org/officeDocument/2006/relationships/hyperlink" Target="https://www.lcsc.com/product-detail/Audio-Amplifiers_Shenzhen-Nsiway-Tech-NS4110B_C5334145.html" TargetMode="External"/><Relationship Id="rId15" Type="http://schemas.openxmlformats.org/officeDocument/2006/relationships/hyperlink" Target="https://www.lcsc.com/product-detail/Multilayer-Ceramic-Capacitors-MLCC-SMD-SMT_Murata-Electronics-GJM1555C1H120GB01D_C161305.html" TargetMode="External"/><Relationship Id="rId36" Type="http://schemas.openxmlformats.org/officeDocument/2006/relationships/hyperlink" Target="https://www.lcsc.com/product-detail/Chip-Resistor-Surface-Mount_YAGEO-RC0805FR-073K09L_C274002.html" TargetMode="External"/><Relationship Id="rId57" Type="http://schemas.openxmlformats.org/officeDocument/2006/relationships/hyperlink" Target="https://www.lcsc.com/product-detail/ESD-and-Surge-Protection-TVS-ESD_TECH-PUBLIC-ESD5451N_C2936977.html" TargetMode="External"/><Relationship Id="rId106" Type="http://schemas.openxmlformats.org/officeDocument/2006/relationships/hyperlink" Target="https://www.lcsc.com/product-detail/Crystals_Seiko-Epson-Q22FA12800090_C255883.html" TargetMode="External"/><Relationship Id="rId127" Type="http://schemas.openxmlformats.org/officeDocument/2006/relationships/hyperlink" Target="https://www.lcsc.com/product-detail/Chip-Resistor-Surface-Mount_YAGEO-RC0402FR-0710KL_C60490.html" TargetMode="External"/><Relationship Id="rId10" Type="http://schemas.openxmlformats.org/officeDocument/2006/relationships/hyperlink" Target="https://www.lcsc.com/product-detail/Multilayer-Ceramic-Capacitors-MLCC-SMD-SMT_YAGEO-CC0603KRX5R6BB106_C326057.html" TargetMode="External"/><Relationship Id="rId31" Type="http://schemas.openxmlformats.org/officeDocument/2006/relationships/hyperlink" Target="https://www.lcsc.com/product-detail/Chip-Resistor-Surface-Mount_Vishay-Intertech-CRCW04021K00FKEDHP_C313354.html" TargetMode="External"/><Relationship Id="rId52" Type="http://schemas.openxmlformats.org/officeDocument/2006/relationships/hyperlink" Target="https://www.lcsc.com/product-detail/Multilayer-Ceramic-Capacitors-MLCC-SMD-SMT_YAGEO-CC0402KRX5R6BB105_C106254.html" TargetMode="External"/><Relationship Id="rId73" Type="http://schemas.openxmlformats.org/officeDocument/2006/relationships/hyperlink" Target="https://www.lcsc.com/product-detail/Multilayer-Ceramic-Capacitors-MLCC-SMD-SMT_YAGEO-CC0201KRX5R6BB104_C190183.html" TargetMode="External"/><Relationship Id="rId78" Type="http://schemas.openxmlformats.org/officeDocument/2006/relationships/hyperlink" Target="https://www.lcsc.com/product-detail/Multilayer-Ceramic-Capacitors-MLCC-SMD-SMT_YAGEO-CC0402KRX5R6BB105_C106254.html" TargetMode="External"/><Relationship Id="rId94" Type="http://schemas.openxmlformats.org/officeDocument/2006/relationships/hyperlink" Target="https://www.lcsc.com/product-detail/Chip-Resistor-Surface-Mount_YAGEO-RC0402FR-0722RL_C114765.html" TargetMode="External"/><Relationship Id="rId99" Type="http://schemas.openxmlformats.org/officeDocument/2006/relationships/hyperlink" Target="https://www.lcsc.com/product-detail/Tactile-Switches_Omron-Electronics-B3U-1000P_C231329.html" TargetMode="External"/><Relationship Id="rId101" Type="http://schemas.openxmlformats.org/officeDocument/2006/relationships/hyperlink" Target="https://www.lcsc.com/product-detail/DDR-SDRAM_Samsung-K4B4G1646E-BCNB_C2803248.html" TargetMode="External"/><Relationship Id="rId122" Type="http://schemas.openxmlformats.org/officeDocument/2006/relationships/hyperlink" Target="https://www.lcsc.com/product-detail/Ethernet-Connectors-Modular-Connectors-RJ45-RJ11_TE-Connectivity-2-406549-1_C125068.html" TargetMode="External"/><Relationship Id="rId143" Type="http://schemas.openxmlformats.org/officeDocument/2006/relationships/hyperlink" Target="https://www.lcsc.com/product-detail/Chip-Resistor-Surface-Mount_YAGEO-RT0603BRD0790R9L_C861597.html" TargetMode="External"/><Relationship Id="rId148" Type="http://schemas.openxmlformats.org/officeDocument/2006/relationships/hyperlink" Target="https://www.lcsc.com/product-detail/Power-Over-Ethernet-PoE-Controllers_Texas-Instruments-TPS2372-4RGWR_C470955.html" TargetMode="External"/><Relationship Id="rId164" Type="http://schemas.openxmlformats.org/officeDocument/2006/relationships/hyperlink" Target="https://www.lcsc.com/product-detail/Wire-To-Board-Connector_HCTL-XH-4A-L_C2979569.html" TargetMode="External"/><Relationship Id="rId169" Type="http://schemas.openxmlformats.org/officeDocument/2006/relationships/hyperlink" Target="https://www.lcsc.com/product-detail/Wire-To-Board-Connector_JST-S4B-PH-SM4-TB-LF-SN_C265102.html" TargetMode="External"/><Relationship Id="rId185" Type="http://schemas.openxmlformats.org/officeDocument/2006/relationships/hyperlink" Target="https://www.lcsc.com/product-detail/Chip-Resistor-Surface-Mount_Vishay-Intertech-CRCW04021K00FKEDHP_C313354.html" TargetMode="External"/><Relationship Id="rId4" Type="http://schemas.openxmlformats.org/officeDocument/2006/relationships/hyperlink" Target="https://www.lcsc.com/product-detail/Multilayer-Ceramic-Capacitors-MLCC-SMD-SMT_YAGEO-CC0603KRX7R0BB104_C113803.html" TargetMode="External"/><Relationship Id="rId9" Type="http://schemas.openxmlformats.org/officeDocument/2006/relationships/hyperlink" Target="https://www.lcsc.com/product-detail/Multilayer-Ceramic-Capacitors-MLCC-SMD-SMT_YAGEO-CC0201KRX5R6BB104_C190183.html" TargetMode="External"/><Relationship Id="rId180" Type="http://schemas.openxmlformats.org/officeDocument/2006/relationships/hyperlink" Target="https://www.lcsc.com/product-detail/Chip-Resistor-Surface-Mount_YAGEO-RC0402FR-07100KL_C60491.html" TargetMode="External"/><Relationship Id="rId26" Type="http://schemas.openxmlformats.org/officeDocument/2006/relationships/hyperlink" Target="https://www.lcsc.com/product-detail/Chip-Resistor-Surface-Mount_YAGEO-RC0603FR-071ML_C105578.html" TargetMode="External"/><Relationship Id="rId47" Type="http://schemas.openxmlformats.org/officeDocument/2006/relationships/hyperlink" Target="https://www.lcsc.com/product-detail/DC-DC-Converters_Texas-Instruments-LM5164DDAR_C477928.html" TargetMode="External"/><Relationship Id="rId68" Type="http://schemas.openxmlformats.org/officeDocument/2006/relationships/hyperlink" Target="https://www.lcsc.com/product-detail/Chip-Resistor-Surface-Mount_YAGEO-RT0603BRE07110KL_C861631.html" TargetMode="External"/><Relationship Id="rId89" Type="http://schemas.openxmlformats.org/officeDocument/2006/relationships/hyperlink" Target="https://www.lcsc.com/product-detail/Chip-Resistor-Surface-Mount_YAGEO-RC0402FR-0710KL_C60490.html" TargetMode="External"/><Relationship Id="rId112" Type="http://schemas.openxmlformats.org/officeDocument/2006/relationships/hyperlink" Target="https://www.lcsc.com/product-detail/Multilayer-Ceramic-Capacitors-MLCC-SMD-SMT_YAGEO-CC0402KRX7R0BB103_C527014.html" TargetMode="External"/><Relationship Id="rId133" Type="http://schemas.openxmlformats.org/officeDocument/2006/relationships/hyperlink" Target="https://www.lcsc.com/product-detail/Chip-Resistor-Surface-Mount_YAGEO-RC0402FR-074K7L_C105871.html" TargetMode="External"/><Relationship Id="rId154" Type="http://schemas.openxmlformats.org/officeDocument/2006/relationships/hyperlink" Target="https://www.lcsc.com/product-detail/Multilayer-Ceramic-Capacitors-MLCC-SMD-SMT_YAGEO-CC0402KRX5R6BB105_C106254.html" TargetMode="External"/><Relationship Id="rId175" Type="http://schemas.openxmlformats.org/officeDocument/2006/relationships/hyperlink" Target="https://www.lcsc.com/product-detail/Chip-Resistor-Surface-Mount_YAGEO-RC0402FR-0710KL_C60490.html" TargetMode="External"/><Relationship Id="rId196" Type="http://schemas.openxmlformats.org/officeDocument/2006/relationships/hyperlink" Target="https://www.chipsmall.com/Products/FDMQ8205A_10275655.html" TargetMode="External"/><Relationship Id="rId200" Type="http://schemas.openxmlformats.org/officeDocument/2006/relationships/hyperlink" Target="https://vi.aliexpress.com/item/1005005658283146.html?gatewayAdapt=glo2vnm" TargetMode="External"/><Relationship Id="rId16" Type="http://schemas.openxmlformats.org/officeDocument/2006/relationships/hyperlink" Target="https://www.lcsc.com/product-detail/Multilayer-Ceramic-Capacitors-MLCC-SMD-SMT_Murata-Electronics-GRM1555C1H391JA01D_C76967.html" TargetMode="External"/><Relationship Id="rId37" Type="http://schemas.openxmlformats.org/officeDocument/2006/relationships/hyperlink" Target="https://www.lcsc.com/product-detail/Chip-Resistor-Surface-Mount_YAGEO-RC0805FR-075K23L_C274009.html" TargetMode="External"/><Relationship Id="rId58" Type="http://schemas.openxmlformats.org/officeDocument/2006/relationships/hyperlink" Target="https://www.lcsc.com/product-detail/Power-Inductors_YJYCOIN-YHNR3012-R47M_C20416183.html" TargetMode="External"/><Relationship Id="rId79" Type="http://schemas.openxmlformats.org/officeDocument/2006/relationships/hyperlink" Target="https://www.lcsc.com/product-detail/Multilayer-Ceramic-Capacitors-MLCC-SMD-SMT_TDK-C1005C0G1E102JT000F_C343059.html" TargetMode="External"/><Relationship Id="rId102" Type="http://schemas.openxmlformats.org/officeDocument/2006/relationships/hyperlink" Target="https://www.lcsc.com/product-detail/Microcontrollers-MCU-MPU-SOC_Rockchip-RV1126_C2859017.html" TargetMode="External"/><Relationship Id="rId123" Type="http://schemas.openxmlformats.org/officeDocument/2006/relationships/hyperlink" Target="https://www.lcsc.com/product-detail/Screw-Terminal-Blocks_Phoenix-Contact-1715721_C480516.html" TargetMode="External"/><Relationship Id="rId144" Type="http://schemas.openxmlformats.org/officeDocument/2006/relationships/hyperlink" Target="https://www.lcsc.com/product-detail/Potentiometers-Variable-Resistors_BOURNS-3362P-1-202LF_C111654.html" TargetMode="External"/><Relationship Id="rId90" Type="http://schemas.openxmlformats.org/officeDocument/2006/relationships/hyperlink" Target="https://www.lcsc.com/product-detail/Chip-Resistor-Surface-Mount_YAGEO-RC0402FR-07240RL_C114755.html" TargetMode="External"/><Relationship Id="rId165" Type="http://schemas.openxmlformats.org/officeDocument/2006/relationships/hyperlink" Target="https://www.lcsc.com/product-detail/Wire-To-Board-Connector_HCTL-HC-XH-2A-G_C5341201.html" TargetMode="External"/><Relationship Id="rId186" Type="http://schemas.openxmlformats.org/officeDocument/2006/relationships/hyperlink" Target="https://www.lcsc.com/product-detail/Chip-Resistor-Surface-Mount_YAGEO-RC0402FR-07200RL_C114764.html" TargetMode="External"/><Relationship Id="rId27" Type="http://schemas.openxmlformats.org/officeDocument/2006/relationships/hyperlink" Target="https://www.lcsc.com/product-detail/Chip-Resistor-Surface-Mount_YAGEO-RC0603FR-07453KL_C273765.html" TargetMode="External"/><Relationship Id="rId48" Type="http://schemas.openxmlformats.org/officeDocument/2006/relationships/hyperlink" Target="https://www.lcsc.com/product-detail/DC-DC-Converters_Silergy-Corp-SY8089AAAC_C78988.html" TargetMode="External"/><Relationship Id="rId69" Type="http://schemas.openxmlformats.org/officeDocument/2006/relationships/hyperlink" Target="https://www.lcsc.com/product-detail/Tactile-Switches_Omron-Electronics-B3U-1000P_C231329.html" TargetMode="External"/><Relationship Id="rId113" Type="http://schemas.openxmlformats.org/officeDocument/2006/relationships/hyperlink" Target="https://www.lcsc.com/product-detail/Multilayer-Ceramic-Capacitors-MLCC-SMD-SMT_YAGEO-CC0402JRNPO9BN220_C106203.html" TargetMode="External"/><Relationship Id="rId134" Type="http://schemas.openxmlformats.org/officeDocument/2006/relationships/hyperlink" Target="https://www.lcsc.com/product-detail/Chip-Resistor-Surface-Mount_YAGEO-RC0402JR-0775RL_C137841.html" TargetMode="External"/><Relationship Id="rId80" Type="http://schemas.openxmlformats.org/officeDocument/2006/relationships/hyperlink" Target="https://www.lcsc.com/product-detail/Multilayer-Ceramic-Capacitors-MLCC-SMD-SMT_YAGEO-CC0402JRX7R7BB104_C541464.html" TargetMode="External"/><Relationship Id="rId155" Type="http://schemas.openxmlformats.org/officeDocument/2006/relationships/hyperlink" Target="https://www.lcsc.com/product-detail/Multilayer-Ceramic-Capacitors-MLCC-SMD-SMT_YAGEO-CC0402KRX5R7BB104_C106204.html" TargetMode="External"/><Relationship Id="rId176" Type="http://schemas.openxmlformats.org/officeDocument/2006/relationships/hyperlink" Target="https://www.lcsc.com/product-detail/Chip-Resistor-Surface-Mount_YAGEO-RC0402FR-074K7L_C105871.html" TargetMode="External"/><Relationship Id="rId197" Type="http://schemas.openxmlformats.org/officeDocument/2006/relationships/hyperlink" Target="https://www.chipsmall.com/Products/7490220122_11030980.html" TargetMode="External"/><Relationship Id="rId201" Type="http://schemas.openxmlformats.org/officeDocument/2006/relationships/printerSettings" Target="../printerSettings/printerSettings1.bin"/><Relationship Id="rId17" Type="http://schemas.openxmlformats.org/officeDocument/2006/relationships/hyperlink" Target="https://www.lcsc.com/product-detail/Multilayer-Ceramic-Capacitors-MLCC-SMD-SMT_Murata-Electronics-GCM1555C1H470FA16D_C393684.html" TargetMode="External"/><Relationship Id="rId38" Type="http://schemas.openxmlformats.org/officeDocument/2006/relationships/hyperlink" Target="https://www.lcsc.com/product-detail/Chip-Resistor-Surface-Mount_UNI-ROYAL-Uniroyal-Elec-0402WGF4752TCE_C25896.html" TargetMode="External"/><Relationship Id="rId59" Type="http://schemas.openxmlformats.org/officeDocument/2006/relationships/hyperlink" Target="https://www.lcsc.com/product-detail/Chip-Resistor-Surface-Mount_YAGEO-RC0402FR-07100RL_C106232.html" TargetMode="External"/><Relationship Id="rId103" Type="http://schemas.openxmlformats.org/officeDocument/2006/relationships/hyperlink" Target="https://www.lcsc.com/product-detail/NOR-FLASH_Winbond-Elec-W25Q128JWSIQ_C2763561.html" TargetMode="External"/><Relationship Id="rId124" Type="http://schemas.openxmlformats.org/officeDocument/2006/relationships/hyperlink" Target="https://www.lcsc.com/product-detail/Bipolar-BJT_Diodes-Incorporated-MMBTA06-7-F_C151597.html" TargetMode="External"/><Relationship Id="rId70" Type="http://schemas.openxmlformats.org/officeDocument/2006/relationships/hyperlink" Target="https://www.lcsc.com/product-detail/Power-Management-Specialized_Rockchip-RK809-2_C2940552.html" TargetMode="External"/><Relationship Id="rId91" Type="http://schemas.openxmlformats.org/officeDocument/2006/relationships/hyperlink" Target="https://www.lcsc.com/product-detail/Chip-Resistor-Surface-Mount_YAGEO-RC0201FR-07240RL_C155745.html" TargetMode="External"/><Relationship Id="rId145" Type="http://schemas.openxmlformats.org/officeDocument/2006/relationships/hyperlink" Target="https://www.lcsc.com/product-detail/Chip-Resistor-Surface-Mount_YAGEO-RC0603FR-071KL_C22548.html" TargetMode="External"/><Relationship Id="rId166" Type="http://schemas.openxmlformats.org/officeDocument/2006/relationships/hyperlink" Target="https://www.lcsc.com/product-detail/FFC-FPC-Flat-Flexible-Connector-Assemblies_HRS-Hirose-FH12-24S-0-5SH-55_C202112.html" TargetMode="External"/><Relationship Id="rId187" Type="http://schemas.openxmlformats.org/officeDocument/2006/relationships/hyperlink" Target="https://www.lcsc.com/product-detail/Chip-Resistor-Surface-Mount_YAGEO-RC0402FR-072K2L_C114762.html" TargetMode="External"/><Relationship Id="rId1" Type="http://schemas.openxmlformats.org/officeDocument/2006/relationships/hyperlink" Target="https://www.lcsc.com/product-detail/Multilayer-Ceramic-Capacitors-MLCC-SMD-SMT_YAGEO-CC0603KRX7R9BB222_C107082.html" TargetMode="External"/><Relationship Id="rId28" Type="http://schemas.openxmlformats.org/officeDocument/2006/relationships/hyperlink" Target="https://www.lcsc.com/product-detail/Chip-Resistor-Surface-Mount_YAGEO-RT0603BRD07332KL_C861329.html" TargetMode="External"/><Relationship Id="rId49" Type="http://schemas.openxmlformats.org/officeDocument/2006/relationships/hyperlink" Target="https://www.lcsc.com/product-detail/DC-DC-Converters_Diodes-Incorporated-PAM2312AABADJ_C157537.html" TargetMode="External"/><Relationship Id="rId114" Type="http://schemas.openxmlformats.org/officeDocument/2006/relationships/hyperlink" Target="https://www.lcsc.com/product-detail/Aluminum-Electrolytic-Capacitors-SMD_PANASONIC-EEEFK2A101AM_C178569.html" TargetMode="External"/><Relationship Id="rId60" Type="http://schemas.openxmlformats.org/officeDocument/2006/relationships/hyperlink" Target="https://www.lcsc.com/product-detail/Chip-Resistor-Surface-Mount_YAGEO-RC0402FR-070RL_C106231.html" TargetMode="External"/><Relationship Id="rId81" Type="http://schemas.openxmlformats.org/officeDocument/2006/relationships/hyperlink" Target="https://www.lcsc.com/product-detail/Multilayer-Ceramic-Capacitors-MLCC-SMD-SMT_YAGEO-CC0402KRX7R8BB151_C541384.html" TargetMode="External"/><Relationship Id="rId135" Type="http://schemas.openxmlformats.org/officeDocument/2006/relationships/hyperlink" Target="https://www.lcsc.com/product-detail/Chip-Resistor-Surface-Mount_YAGEO-RC0603FR-0720KL_C105575.html" TargetMode="External"/><Relationship Id="rId156" Type="http://schemas.openxmlformats.org/officeDocument/2006/relationships/hyperlink" Target="https://www.lcsc.com/product-detail/Multilayer-Ceramic-Capacitors-MLCC-SMD-SMT_Samsung-Electro-Mechanics-CL10A226MP8NUNE_C86295.html" TargetMode="External"/><Relationship Id="rId177" Type="http://schemas.openxmlformats.org/officeDocument/2006/relationships/hyperlink" Target="https://www.lcsc.com/product-detail/Chip-Resistor-Surface-Mount_Vishay-Intertech-RCS04020000Z0ED_C844673.html" TargetMode="External"/><Relationship Id="rId198" Type="http://schemas.openxmlformats.org/officeDocument/2006/relationships/hyperlink" Target="https://www.digikey.com/en/products/detail/texas-instruments/TPS23881B1RTQR/24420995?s=N4IgTCBcDaICoAUDKYDMAOdBGAQlgSnAIr4gC6AvkA" TargetMode="External"/><Relationship Id="rId18" Type="http://schemas.openxmlformats.org/officeDocument/2006/relationships/hyperlink" Target="https://www.lcsc.com/product-detail/Switching-Diodes_Nexperia-BAS516-115_C10037.html" TargetMode="External"/><Relationship Id="rId39" Type="http://schemas.openxmlformats.org/officeDocument/2006/relationships/hyperlink" Target="https://www.lcsc.com/product-detail/Chip-Resistor-Surface-Mount_YAGEO-RC0603JR-070RL_C95177.html" TargetMode="External"/><Relationship Id="rId50" Type="http://schemas.openxmlformats.org/officeDocument/2006/relationships/hyperlink" Target="https://www.lcsc.com/product-detail/Multilayer-Ceramic-Capacitors-MLCC-SMD-SMT_YAGEO-CC0603KRX5R6BB106_C326057.html" TargetMode="External"/><Relationship Id="rId104" Type="http://schemas.openxmlformats.org/officeDocument/2006/relationships/hyperlink" Target="https://www.lcsc.com/product-detail/Inverters_Texas-Instruments-SN74AHC1G04DBVR_C7465.html" TargetMode="External"/><Relationship Id="rId125" Type="http://schemas.openxmlformats.org/officeDocument/2006/relationships/hyperlink" Target="https://www.lcsc.com/product-detail/MOSFETs_Texas-Instruments-CSD19538Q3A_C478471.html" TargetMode="External"/><Relationship Id="rId146" Type="http://schemas.openxmlformats.org/officeDocument/2006/relationships/hyperlink" Target="https://www.lcsc.com/product-detail/Chip-Resistor-Surface-Mount_YAGEO-RC0402FR-071K5L_C114759.html" TargetMode="External"/><Relationship Id="rId167" Type="http://schemas.openxmlformats.org/officeDocument/2006/relationships/hyperlink" Target="https://www.lcsc.com/product-detail/FFC-FPC-Flat-Flexible-Connector-Assemblies_HRS-Hirose-TF31-30S-0-5SH-800_C5137133.html" TargetMode="External"/><Relationship Id="rId188" Type="http://schemas.openxmlformats.org/officeDocument/2006/relationships/hyperlink" Target="https://www.lcsc.com/product-detail/Chip-Resistor-Surface-Mount_Vishay-Intertech-CRCW0603220RFKEA_C844757.html" TargetMode="External"/><Relationship Id="rId71" Type="http://schemas.openxmlformats.org/officeDocument/2006/relationships/hyperlink" Target="https://www.lcsc.com/product-detail/Crystals_TAITIEN-Elec-XDMCZLNDDF-0-032768MHZ_C521573.html" TargetMode="External"/><Relationship Id="rId92" Type="http://schemas.openxmlformats.org/officeDocument/2006/relationships/hyperlink" Target="https://www.lcsc.com/product-detail/Chip-Resistor-Surface-Mount_YAGEO-RC0402FR-07100RL_C10623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497"/>
  <sheetViews>
    <sheetView tabSelected="1" topLeftCell="A130" zoomScaleNormal="100" workbookViewId="0">
      <selection activeCell="E256" sqref="E256"/>
    </sheetView>
  </sheetViews>
  <sheetFormatPr defaultRowHeight="15" x14ac:dyDescent="0.25"/>
  <cols>
    <col min="1" max="1" width="9.140625" customWidth="1"/>
    <col min="2" max="2" width="3" style="3" bestFit="1" customWidth="1"/>
    <col min="3" max="3" width="18" style="3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9.42578125" bestFit="1" customWidth="1"/>
    <col min="9" max="9" width="21.5703125" bestFit="1" customWidth="1"/>
    <col min="10" max="10" width="17" bestFit="1" customWidth="1"/>
    <col min="11" max="11" width="8.5703125" customWidth="1"/>
    <col min="12" max="12" width="8.7109375" bestFit="1" customWidth="1"/>
    <col min="13" max="13" width="18.7109375" bestFit="1" customWidth="1"/>
    <col min="14" max="14" width="15.140625" bestFit="1" customWidth="1"/>
    <col min="15" max="15" width="10.7109375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6.25" x14ac:dyDescent="0.25">
      <c r="A2" s="1"/>
      <c r="B2" s="2"/>
      <c r="C2" s="2"/>
      <c r="D2" s="17"/>
      <c r="E2" s="17"/>
      <c r="F2" s="17"/>
      <c r="G2" s="25" t="s">
        <v>743</v>
      </c>
      <c r="H2" s="25"/>
      <c r="I2" s="25"/>
      <c r="J2" s="17"/>
      <c r="K2" s="18"/>
      <c r="L2" s="18"/>
      <c r="M2" s="18"/>
      <c r="N2" s="18"/>
      <c r="O2" s="18"/>
      <c r="P2" s="18"/>
      <c r="Q2" s="18"/>
      <c r="R2" s="18"/>
    </row>
    <row r="3" spans="1:18" ht="15.75" thickBot="1" x14ac:dyDescent="0.3">
      <c r="A3" s="1"/>
      <c r="B3" s="2"/>
      <c r="C3" s="2"/>
      <c r="D3" s="17"/>
      <c r="E3" s="17"/>
      <c r="F3" s="17"/>
      <c r="G3" s="17"/>
      <c r="H3" s="17"/>
      <c r="I3" s="17"/>
      <c r="J3" s="17"/>
      <c r="K3" s="18"/>
      <c r="L3" s="18"/>
      <c r="M3" s="18"/>
      <c r="N3" s="18"/>
      <c r="O3" s="18"/>
      <c r="P3" s="18"/>
      <c r="Q3" s="18"/>
      <c r="R3" s="18"/>
    </row>
    <row r="4" spans="1:18" ht="15.75" thickBot="1" x14ac:dyDescent="0.3">
      <c r="A4" s="1"/>
      <c r="B4" s="4" t="s">
        <v>0</v>
      </c>
      <c r="C4" s="4" t="s">
        <v>3</v>
      </c>
      <c r="D4" s="4" t="s">
        <v>11</v>
      </c>
      <c r="E4" s="4" t="s">
        <v>20</v>
      </c>
      <c r="F4" s="4" t="s">
        <v>40</v>
      </c>
      <c r="G4" s="4" t="s">
        <v>52</v>
      </c>
      <c r="H4" s="4" t="s">
        <v>70</v>
      </c>
      <c r="I4" s="4" t="s">
        <v>116</v>
      </c>
      <c r="J4" s="4" t="s">
        <v>78</v>
      </c>
      <c r="K4" s="4" t="s">
        <v>108</v>
      </c>
      <c r="L4" s="4" t="s">
        <v>106</v>
      </c>
      <c r="M4" s="4" t="s">
        <v>107</v>
      </c>
      <c r="N4" s="4" t="s">
        <v>109</v>
      </c>
      <c r="O4" s="4" t="s">
        <v>110</v>
      </c>
      <c r="P4" s="4" t="s">
        <v>111</v>
      </c>
      <c r="Q4" s="4" t="s">
        <v>112</v>
      </c>
      <c r="R4" s="4" t="s">
        <v>113</v>
      </c>
    </row>
    <row r="5" spans="1:18" x14ac:dyDescent="0.25">
      <c r="A5" s="1"/>
      <c r="B5" s="7">
        <v>1</v>
      </c>
      <c r="C5" s="12" t="s">
        <v>4</v>
      </c>
      <c r="D5" s="5" t="s">
        <v>519</v>
      </c>
      <c r="E5" s="5" t="s">
        <v>520</v>
      </c>
      <c r="F5" s="5" t="s">
        <v>42</v>
      </c>
      <c r="G5" s="5" t="s">
        <v>521</v>
      </c>
      <c r="H5" s="5" t="s">
        <v>71</v>
      </c>
      <c r="I5" s="22" t="s">
        <v>923</v>
      </c>
      <c r="J5" s="5" t="s">
        <v>522</v>
      </c>
      <c r="K5" s="5" t="s">
        <v>523</v>
      </c>
      <c r="L5" s="5">
        <v>1</v>
      </c>
      <c r="M5" s="5">
        <f>L5*5</f>
        <v>5</v>
      </c>
      <c r="N5" s="10">
        <v>100</v>
      </c>
      <c r="O5" s="19" t="s">
        <v>280</v>
      </c>
      <c r="P5" s="11">
        <v>2.5999999999999999E-3</v>
      </c>
      <c r="Q5" s="6">
        <f>P5*N5</f>
        <v>0.26</v>
      </c>
      <c r="R5" s="5"/>
    </row>
    <row r="6" spans="1:18" x14ac:dyDescent="0.25">
      <c r="A6" s="1"/>
      <c r="B6" s="7">
        <v>2</v>
      </c>
      <c r="C6" s="13" t="s">
        <v>4</v>
      </c>
      <c r="D6" s="10" t="s">
        <v>524</v>
      </c>
      <c r="E6" s="10" t="s">
        <v>525</v>
      </c>
      <c r="F6" s="10" t="s">
        <v>42</v>
      </c>
      <c r="G6" s="10" t="s">
        <v>526</v>
      </c>
      <c r="H6" s="10" t="s">
        <v>527</v>
      </c>
      <c r="I6" s="22" t="s">
        <v>923</v>
      </c>
      <c r="J6" s="10" t="s">
        <v>528</v>
      </c>
      <c r="K6" s="10" t="s">
        <v>529</v>
      </c>
      <c r="L6" s="10">
        <v>1</v>
      </c>
      <c r="M6" s="10">
        <f t="shared" ref="M6" si="0">L6*5</f>
        <v>5</v>
      </c>
      <c r="N6" s="5">
        <v>100</v>
      </c>
      <c r="O6" s="19" t="s">
        <v>280</v>
      </c>
      <c r="P6" s="6">
        <v>2.8999999999999998E-3</v>
      </c>
      <c r="Q6" s="11">
        <f t="shared" ref="Q6" si="1">P6*N6</f>
        <v>0.28999999999999998</v>
      </c>
      <c r="R6" s="10"/>
    </row>
    <row r="7" spans="1:18" x14ac:dyDescent="0.25">
      <c r="A7" s="1"/>
      <c r="B7" s="7">
        <v>3</v>
      </c>
      <c r="C7" s="12" t="s">
        <v>4</v>
      </c>
      <c r="D7" s="5" t="s">
        <v>530</v>
      </c>
      <c r="E7" s="5" t="s">
        <v>531</v>
      </c>
      <c r="F7" s="5" t="s">
        <v>532</v>
      </c>
      <c r="G7" s="5" t="s">
        <v>533</v>
      </c>
      <c r="H7" s="5" t="s">
        <v>400</v>
      </c>
      <c r="I7" s="22" t="s">
        <v>923</v>
      </c>
      <c r="J7" s="5" t="s">
        <v>534</v>
      </c>
      <c r="K7" s="5" t="s">
        <v>312</v>
      </c>
      <c r="L7" s="5">
        <v>4</v>
      </c>
      <c r="M7" s="5">
        <f>L7*5</f>
        <v>20</v>
      </c>
      <c r="N7" s="10">
        <v>25</v>
      </c>
      <c r="O7" s="19" t="s">
        <v>280</v>
      </c>
      <c r="P7" s="11">
        <v>0.17419999999999999</v>
      </c>
      <c r="Q7" s="6">
        <f>P7*N7</f>
        <v>4.3549999999999995</v>
      </c>
      <c r="R7" s="5"/>
    </row>
    <row r="8" spans="1:18" x14ac:dyDescent="0.25">
      <c r="A8" s="1"/>
      <c r="B8" s="7">
        <v>4</v>
      </c>
      <c r="C8" s="13" t="s">
        <v>4</v>
      </c>
      <c r="D8" s="10" t="s">
        <v>535</v>
      </c>
      <c r="E8" s="10" t="s">
        <v>22</v>
      </c>
      <c r="F8" s="10" t="s">
        <v>42</v>
      </c>
      <c r="G8" s="10" t="s">
        <v>54</v>
      </c>
      <c r="H8" s="10" t="s">
        <v>71</v>
      </c>
      <c r="I8" s="22" t="s">
        <v>923</v>
      </c>
      <c r="J8" s="10" t="s">
        <v>80</v>
      </c>
      <c r="K8" s="10" t="s">
        <v>251</v>
      </c>
      <c r="L8" s="10">
        <v>3</v>
      </c>
      <c r="M8" s="10">
        <f t="shared" ref="M8" si="2">L8*5</f>
        <v>15</v>
      </c>
      <c r="N8" s="5">
        <v>100</v>
      </c>
      <c r="O8" s="19" t="s">
        <v>280</v>
      </c>
      <c r="P8" s="6">
        <v>4.8999999999999998E-3</v>
      </c>
      <c r="Q8" s="11">
        <f t="shared" ref="Q8" si="3">P8*N8</f>
        <v>0.49</v>
      </c>
      <c r="R8" s="10"/>
    </row>
    <row r="9" spans="1:18" x14ac:dyDescent="0.25">
      <c r="A9" s="1"/>
      <c r="B9" s="7">
        <v>5</v>
      </c>
      <c r="C9" s="12" t="s">
        <v>4</v>
      </c>
      <c r="D9" s="5" t="s">
        <v>536</v>
      </c>
      <c r="E9" s="5" t="s">
        <v>537</v>
      </c>
      <c r="F9" s="5" t="s">
        <v>532</v>
      </c>
      <c r="G9" s="5" t="s">
        <v>538</v>
      </c>
      <c r="H9" s="5" t="s">
        <v>539</v>
      </c>
      <c r="I9" s="22" t="s">
        <v>923</v>
      </c>
      <c r="J9" s="5" t="s">
        <v>540</v>
      </c>
      <c r="K9" s="5" t="s">
        <v>292</v>
      </c>
      <c r="L9" s="5">
        <v>2</v>
      </c>
      <c r="M9" s="5">
        <f>L9*5</f>
        <v>10</v>
      </c>
      <c r="N9" s="5">
        <v>15</v>
      </c>
      <c r="O9" s="19" t="s">
        <v>280</v>
      </c>
      <c r="P9" s="6">
        <v>0.17219999999999999</v>
      </c>
      <c r="Q9" s="6">
        <f>P9*N9</f>
        <v>2.5829999999999997</v>
      </c>
      <c r="R9" s="5"/>
    </row>
    <row r="10" spans="1:18" x14ac:dyDescent="0.25">
      <c r="A10" s="1"/>
      <c r="B10" s="7">
        <v>6</v>
      </c>
      <c r="C10" s="13" t="s">
        <v>4</v>
      </c>
      <c r="D10" s="10" t="s">
        <v>541</v>
      </c>
      <c r="E10" s="10" t="s">
        <v>542</v>
      </c>
      <c r="F10" s="10" t="s">
        <v>43</v>
      </c>
      <c r="G10" s="10" t="s">
        <v>543</v>
      </c>
      <c r="H10" s="10" t="s">
        <v>71</v>
      </c>
      <c r="I10" s="22" t="s">
        <v>923</v>
      </c>
      <c r="J10" s="10" t="s">
        <v>544</v>
      </c>
      <c r="K10" s="10" t="s">
        <v>545</v>
      </c>
      <c r="L10" s="10">
        <v>1</v>
      </c>
      <c r="M10" s="10">
        <f t="shared" ref="M10" si="4">L10*5</f>
        <v>5</v>
      </c>
      <c r="N10" s="10">
        <v>100</v>
      </c>
      <c r="O10" s="19" t="s">
        <v>280</v>
      </c>
      <c r="P10" s="11">
        <v>3.5000000000000001E-3</v>
      </c>
      <c r="Q10" s="11">
        <f t="shared" ref="Q10" si="5">P10*N10</f>
        <v>0.35000000000000003</v>
      </c>
      <c r="R10" s="10"/>
    </row>
    <row r="11" spans="1:18" x14ac:dyDescent="0.25">
      <c r="A11" s="1"/>
      <c r="B11" s="7">
        <v>7</v>
      </c>
      <c r="C11" s="12" t="s">
        <v>4</v>
      </c>
      <c r="D11" s="5" t="s">
        <v>546</v>
      </c>
      <c r="E11" s="5" t="s">
        <v>547</v>
      </c>
      <c r="F11" s="5" t="s">
        <v>43</v>
      </c>
      <c r="G11" s="5" t="s">
        <v>548</v>
      </c>
      <c r="H11" s="5" t="s">
        <v>182</v>
      </c>
      <c r="I11" s="22" t="s">
        <v>923</v>
      </c>
      <c r="J11" s="5" t="s">
        <v>549</v>
      </c>
      <c r="K11" s="5" t="s">
        <v>550</v>
      </c>
      <c r="L11" s="5">
        <v>1</v>
      </c>
      <c r="M11" s="5">
        <f>L11*5</f>
        <v>5</v>
      </c>
      <c r="N11" s="10">
        <v>100</v>
      </c>
      <c r="O11" s="19" t="s">
        <v>280</v>
      </c>
      <c r="P11" s="11">
        <v>1.01E-2</v>
      </c>
      <c r="Q11" s="6">
        <f>P11*N11</f>
        <v>1.01</v>
      </c>
      <c r="R11" s="5"/>
    </row>
    <row r="12" spans="1:18" x14ac:dyDescent="0.25">
      <c r="A12" s="1"/>
      <c r="B12" s="7">
        <v>8</v>
      </c>
      <c r="C12" s="12" t="s">
        <v>4</v>
      </c>
      <c r="D12" s="10" t="s">
        <v>551</v>
      </c>
      <c r="E12" s="10" t="s">
        <v>289</v>
      </c>
      <c r="F12" s="10" t="s">
        <v>42</v>
      </c>
      <c r="G12" s="10" t="s">
        <v>290</v>
      </c>
      <c r="H12" s="10" t="s">
        <v>71</v>
      </c>
      <c r="I12" s="22" t="s">
        <v>923</v>
      </c>
      <c r="J12" s="10" t="s">
        <v>291</v>
      </c>
      <c r="K12" s="10" t="s">
        <v>292</v>
      </c>
      <c r="L12" s="10">
        <v>2</v>
      </c>
      <c r="M12" s="10">
        <f t="shared" ref="M12" si="6">L12*5</f>
        <v>10</v>
      </c>
      <c r="N12" s="10">
        <v>100</v>
      </c>
      <c r="O12" s="19" t="s">
        <v>280</v>
      </c>
      <c r="P12" s="11">
        <v>1.9300000000000001E-2</v>
      </c>
      <c r="Q12" s="11">
        <f t="shared" ref="Q12" si="7">P12*N12</f>
        <v>1.9300000000000002</v>
      </c>
      <c r="R12" s="10"/>
    </row>
    <row r="13" spans="1:18" ht="24" x14ac:dyDescent="0.25">
      <c r="A13" s="1"/>
      <c r="B13" s="7">
        <v>9</v>
      </c>
      <c r="C13" s="12" t="s">
        <v>4</v>
      </c>
      <c r="D13" s="5" t="s">
        <v>552</v>
      </c>
      <c r="E13" s="5" t="s">
        <v>386</v>
      </c>
      <c r="F13" s="5" t="s">
        <v>387</v>
      </c>
      <c r="G13" s="5" t="s">
        <v>388</v>
      </c>
      <c r="H13" s="5" t="s">
        <v>71</v>
      </c>
      <c r="I13" s="22" t="s">
        <v>923</v>
      </c>
      <c r="J13" s="5" t="s">
        <v>389</v>
      </c>
      <c r="K13" s="5" t="s">
        <v>96</v>
      </c>
      <c r="L13" s="5">
        <v>7</v>
      </c>
      <c r="M13" s="5">
        <f>L13*5</f>
        <v>35</v>
      </c>
      <c r="N13" s="5">
        <v>100</v>
      </c>
      <c r="O13" s="19" t="s">
        <v>280</v>
      </c>
      <c r="P13" s="6">
        <v>1.1000000000000001E-3</v>
      </c>
      <c r="Q13" s="6">
        <f>P13*N13</f>
        <v>0.11</v>
      </c>
      <c r="R13" s="5"/>
    </row>
    <row r="14" spans="1:18" x14ac:dyDescent="0.25">
      <c r="A14" s="1"/>
      <c r="B14" s="7">
        <v>10</v>
      </c>
      <c r="C14" s="12" t="s">
        <v>4</v>
      </c>
      <c r="D14" s="10" t="s">
        <v>553</v>
      </c>
      <c r="E14" s="10" t="s">
        <v>284</v>
      </c>
      <c r="F14" s="10" t="s">
        <v>42</v>
      </c>
      <c r="G14" s="10" t="s">
        <v>285</v>
      </c>
      <c r="H14" s="10" t="s">
        <v>71</v>
      </c>
      <c r="I14" s="22" t="s">
        <v>923</v>
      </c>
      <c r="J14" s="10" t="s">
        <v>286</v>
      </c>
      <c r="K14" s="10" t="s">
        <v>287</v>
      </c>
      <c r="L14" s="10">
        <v>5</v>
      </c>
      <c r="M14" s="10">
        <f t="shared" ref="M14" si="8">L14*5</f>
        <v>25</v>
      </c>
      <c r="N14" s="5">
        <v>40</v>
      </c>
      <c r="O14" s="20" t="s">
        <v>280</v>
      </c>
      <c r="P14" s="6">
        <v>2.7099999999999999E-2</v>
      </c>
      <c r="Q14" s="11">
        <f t="shared" ref="Q14" si="9">P14*N14</f>
        <v>1.0840000000000001</v>
      </c>
      <c r="R14" s="10"/>
    </row>
    <row r="15" spans="1:18" x14ac:dyDescent="0.25">
      <c r="A15" s="1"/>
      <c r="B15" s="7">
        <v>11</v>
      </c>
      <c r="C15" s="12" t="s">
        <v>4</v>
      </c>
      <c r="D15" s="14" t="s">
        <v>554</v>
      </c>
      <c r="E15" s="14" t="s">
        <v>386</v>
      </c>
      <c r="F15" s="14" t="s">
        <v>387</v>
      </c>
      <c r="G15" s="14" t="s">
        <v>388</v>
      </c>
      <c r="H15" s="14" t="s">
        <v>71</v>
      </c>
      <c r="I15" s="22" t="s">
        <v>923</v>
      </c>
      <c r="J15" s="14" t="s">
        <v>389</v>
      </c>
      <c r="K15" s="14" t="s">
        <v>103</v>
      </c>
      <c r="L15" s="14">
        <v>3</v>
      </c>
      <c r="M15" s="14">
        <f>L15*5</f>
        <v>15</v>
      </c>
      <c r="N15" s="14" t="s">
        <v>114</v>
      </c>
      <c r="O15" s="14" t="s">
        <v>114</v>
      </c>
      <c r="P15" s="15" t="s">
        <v>114</v>
      </c>
      <c r="Q15" s="15" t="s">
        <v>114</v>
      </c>
      <c r="R15" s="16" t="s">
        <v>115</v>
      </c>
    </row>
    <row r="16" spans="1:18" x14ac:dyDescent="0.25">
      <c r="A16" s="1"/>
      <c r="B16" s="7">
        <v>12</v>
      </c>
      <c r="C16" s="13" t="s">
        <v>4</v>
      </c>
      <c r="D16" s="10" t="s">
        <v>555</v>
      </c>
      <c r="E16" s="10" t="s">
        <v>556</v>
      </c>
      <c r="F16" s="10" t="s">
        <v>532</v>
      </c>
      <c r="G16" s="10" t="s">
        <v>557</v>
      </c>
      <c r="H16" s="10" t="s">
        <v>400</v>
      </c>
      <c r="I16" s="22" t="s">
        <v>923</v>
      </c>
      <c r="J16" s="10" t="s">
        <v>558</v>
      </c>
      <c r="K16" s="10" t="s">
        <v>292</v>
      </c>
      <c r="L16" s="10">
        <v>2</v>
      </c>
      <c r="M16" s="10">
        <f t="shared" ref="M16" si="10">L16*5</f>
        <v>10</v>
      </c>
      <c r="N16" s="5">
        <v>20</v>
      </c>
      <c r="O16" s="19" t="s">
        <v>280</v>
      </c>
      <c r="P16" s="6">
        <v>4.2599999999999999E-2</v>
      </c>
      <c r="Q16" s="11">
        <f t="shared" ref="Q16" si="11">P16*N16</f>
        <v>0.85199999999999998</v>
      </c>
      <c r="R16" s="10"/>
    </row>
    <row r="17" spans="1:18" x14ac:dyDescent="0.25">
      <c r="A17" s="1"/>
      <c r="B17" s="7">
        <v>13</v>
      </c>
      <c r="C17" s="12" t="s">
        <v>4</v>
      </c>
      <c r="D17" s="5" t="s">
        <v>559</v>
      </c>
      <c r="E17" s="5" t="s">
        <v>560</v>
      </c>
      <c r="F17" s="5" t="s">
        <v>43</v>
      </c>
      <c r="G17" s="5" t="s">
        <v>561</v>
      </c>
      <c r="H17" s="5" t="s">
        <v>71</v>
      </c>
      <c r="I17" s="22" t="s">
        <v>923</v>
      </c>
      <c r="J17" s="5" t="s">
        <v>562</v>
      </c>
      <c r="K17" s="5" t="s">
        <v>563</v>
      </c>
      <c r="L17" s="5">
        <v>1</v>
      </c>
      <c r="M17" s="5">
        <f>L17*5</f>
        <v>5</v>
      </c>
      <c r="N17" s="10">
        <v>100</v>
      </c>
      <c r="O17" s="19" t="s">
        <v>280</v>
      </c>
      <c r="P17" s="11">
        <v>2.5000000000000001E-3</v>
      </c>
      <c r="Q17" s="6">
        <f>P17*N17</f>
        <v>0.25</v>
      </c>
      <c r="R17" s="5"/>
    </row>
    <row r="18" spans="1:18" x14ac:dyDescent="0.25">
      <c r="A18" s="1"/>
      <c r="B18" s="7">
        <v>14</v>
      </c>
      <c r="C18" s="13" t="s">
        <v>4</v>
      </c>
      <c r="D18" s="10" t="s">
        <v>564</v>
      </c>
      <c r="E18" s="10" t="s">
        <v>565</v>
      </c>
      <c r="F18" s="10" t="s">
        <v>43</v>
      </c>
      <c r="G18" s="10" t="s">
        <v>566</v>
      </c>
      <c r="H18" s="10" t="s">
        <v>71</v>
      </c>
      <c r="I18" s="22" t="s">
        <v>923</v>
      </c>
      <c r="J18" s="10" t="s">
        <v>567</v>
      </c>
      <c r="K18" s="10" t="s">
        <v>568</v>
      </c>
      <c r="L18" s="10">
        <v>1</v>
      </c>
      <c r="M18" s="10">
        <f t="shared" ref="M18" si="12">L18*5</f>
        <v>5</v>
      </c>
      <c r="N18" s="5">
        <v>100</v>
      </c>
      <c r="O18" s="19" t="s">
        <v>280</v>
      </c>
      <c r="P18" s="6">
        <v>1.1000000000000001E-3</v>
      </c>
      <c r="Q18" s="11">
        <f t="shared" ref="Q18" si="13">P18*N18</f>
        <v>0.11</v>
      </c>
      <c r="R18" s="10"/>
    </row>
    <row r="19" spans="1:18" x14ac:dyDescent="0.25">
      <c r="A19" s="1"/>
      <c r="B19" s="7">
        <v>15</v>
      </c>
      <c r="C19" s="12" t="s">
        <v>4</v>
      </c>
      <c r="D19" s="5" t="s">
        <v>569</v>
      </c>
      <c r="E19" s="5" t="s">
        <v>570</v>
      </c>
      <c r="F19" s="5" t="s">
        <v>42</v>
      </c>
      <c r="G19" s="5" t="s">
        <v>571</v>
      </c>
      <c r="H19" s="5" t="s">
        <v>484</v>
      </c>
      <c r="I19" s="22" t="s">
        <v>923</v>
      </c>
      <c r="J19" s="5" t="s">
        <v>572</v>
      </c>
      <c r="K19" s="5" t="s">
        <v>98</v>
      </c>
      <c r="L19" s="5">
        <v>1</v>
      </c>
      <c r="M19" s="5">
        <f>L19*5</f>
        <v>5</v>
      </c>
      <c r="N19" s="10">
        <v>100</v>
      </c>
      <c r="O19" s="19" t="s">
        <v>280</v>
      </c>
      <c r="P19" s="11">
        <v>4.4999999999999997E-3</v>
      </c>
      <c r="Q19" s="6">
        <f>P19*N19</f>
        <v>0.44999999999999996</v>
      </c>
      <c r="R19" s="5"/>
    </row>
    <row r="20" spans="1:18" x14ac:dyDescent="0.25">
      <c r="A20" s="1"/>
      <c r="B20" s="7">
        <v>16</v>
      </c>
      <c r="C20" s="12" t="s">
        <v>4</v>
      </c>
      <c r="D20" s="10" t="s">
        <v>573</v>
      </c>
      <c r="E20" s="10" t="s">
        <v>574</v>
      </c>
      <c r="F20" s="10" t="s">
        <v>43</v>
      </c>
      <c r="G20" s="10" t="s">
        <v>575</v>
      </c>
      <c r="H20" s="10" t="s">
        <v>400</v>
      </c>
      <c r="I20" s="22" t="s">
        <v>923</v>
      </c>
      <c r="J20" s="10" t="s">
        <v>576</v>
      </c>
      <c r="K20" s="10" t="s">
        <v>577</v>
      </c>
      <c r="L20" s="10">
        <v>1</v>
      </c>
      <c r="M20" s="10">
        <f t="shared" ref="M20" si="14">L20*5</f>
        <v>5</v>
      </c>
      <c r="N20" s="5">
        <v>10</v>
      </c>
      <c r="O20" s="19" t="s">
        <v>280</v>
      </c>
      <c r="P20" s="6">
        <v>3.6299999999999999E-2</v>
      </c>
      <c r="Q20" s="11">
        <f t="shared" ref="Q20" si="15">P20*N20</f>
        <v>0.36299999999999999</v>
      </c>
      <c r="R20" s="10"/>
    </row>
    <row r="21" spans="1:18" x14ac:dyDescent="0.25">
      <c r="A21" s="1"/>
      <c r="B21" s="7">
        <v>17</v>
      </c>
      <c r="C21" s="12" t="s">
        <v>4</v>
      </c>
      <c r="D21" s="5" t="s">
        <v>578</v>
      </c>
      <c r="E21" s="5" t="s">
        <v>579</v>
      </c>
      <c r="F21" s="5" t="s">
        <v>43</v>
      </c>
      <c r="G21" s="14" t="s">
        <v>580</v>
      </c>
      <c r="H21" s="5" t="s">
        <v>310</v>
      </c>
      <c r="I21" s="10" t="s">
        <v>744</v>
      </c>
      <c r="J21" s="10" t="s">
        <v>745</v>
      </c>
      <c r="K21" s="5" t="s">
        <v>581</v>
      </c>
      <c r="L21" s="5">
        <v>1</v>
      </c>
      <c r="M21" s="5">
        <f>L21*5</f>
        <v>5</v>
      </c>
      <c r="N21" s="10">
        <v>100</v>
      </c>
      <c r="O21" s="19" t="s">
        <v>280</v>
      </c>
      <c r="P21" s="11">
        <v>3.3E-3</v>
      </c>
      <c r="Q21" s="6">
        <f>P21*N21</f>
        <v>0.33</v>
      </c>
      <c r="R21" s="5"/>
    </row>
    <row r="22" spans="1:18" x14ac:dyDescent="0.25">
      <c r="A22" s="1"/>
      <c r="B22" s="7">
        <v>18</v>
      </c>
      <c r="C22" s="12" t="s">
        <v>4</v>
      </c>
      <c r="D22" s="10" t="s">
        <v>582</v>
      </c>
      <c r="E22" s="10" t="s">
        <v>583</v>
      </c>
      <c r="F22" s="10" t="s">
        <v>43</v>
      </c>
      <c r="G22" s="10" t="s">
        <v>584</v>
      </c>
      <c r="H22" s="10" t="s">
        <v>400</v>
      </c>
      <c r="I22" s="22" t="s">
        <v>923</v>
      </c>
      <c r="J22" s="10" t="s">
        <v>585</v>
      </c>
      <c r="K22" s="10" t="s">
        <v>586</v>
      </c>
      <c r="L22" s="10">
        <v>2</v>
      </c>
      <c r="M22" s="10">
        <f t="shared" ref="M22" si="16">L22*5</f>
        <v>10</v>
      </c>
      <c r="N22" s="5">
        <v>20</v>
      </c>
      <c r="O22" s="19" t="s">
        <v>280</v>
      </c>
      <c r="P22" s="6">
        <v>2.1100000000000001E-2</v>
      </c>
      <c r="Q22" s="11">
        <f t="shared" ref="Q22" si="17">P22*N22</f>
        <v>0.42200000000000004</v>
      </c>
      <c r="R22" s="10"/>
    </row>
    <row r="23" spans="1:18" x14ac:dyDescent="0.25">
      <c r="A23" s="1"/>
      <c r="B23" s="7">
        <v>19</v>
      </c>
      <c r="C23" s="12" t="s">
        <v>5</v>
      </c>
      <c r="D23" s="5" t="s">
        <v>587</v>
      </c>
      <c r="E23" s="5" t="s">
        <v>588</v>
      </c>
      <c r="F23" s="5" t="s">
        <v>589</v>
      </c>
      <c r="G23" s="5" t="s">
        <v>590</v>
      </c>
      <c r="H23" s="5" t="s">
        <v>591</v>
      </c>
      <c r="I23" s="22" t="s">
        <v>923</v>
      </c>
      <c r="J23" s="5" t="s">
        <v>592</v>
      </c>
      <c r="K23" s="5" t="s">
        <v>114</v>
      </c>
      <c r="L23" s="5">
        <v>1</v>
      </c>
      <c r="M23" s="5">
        <f>L23*5</f>
        <v>5</v>
      </c>
      <c r="N23" s="10">
        <v>20</v>
      </c>
      <c r="O23" s="19" t="s">
        <v>280</v>
      </c>
      <c r="P23" s="11">
        <v>1.7299999999999999E-2</v>
      </c>
      <c r="Q23" s="6">
        <f>P23*N23</f>
        <v>0.34599999999999997</v>
      </c>
      <c r="R23" s="5"/>
    </row>
    <row r="24" spans="1:18" ht="24" x14ac:dyDescent="0.25">
      <c r="A24" s="1"/>
      <c r="B24" s="7">
        <v>20</v>
      </c>
      <c r="C24" s="13" t="s">
        <v>318</v>
      </c>
      <c r="D24" s="10" t="s">
        <v>593</v>
      </c>
      <c r="E24" s="10" t="s">
        <v>594</v>
      </c>
      <c r="F24" s="10" t="s">
        <v>380</v>
      </c>
      <c r="G24" s="10" t="s">
        <v>595</v>
      </c>
      <c r="H24" s="10" t="s">
        <v>596</v>
      </c>
      <c r="I24" s="22" t="s">
        <v>923</v>
      </c>
      <c r="J24" s="10" t="s">
        <v>597</v>
      </c>
      <c r="K24" s="10" t="s">
        <v>598</v>
      </c>
      <c r="L24" s="10">
        <v>1</v>
      </c>
      <c r="M24" s="10">
        <f t="shared" ref="M24" si="18">L24*5</f>
        <v>5</v>
      </c>
      <c r="N24" s="5">
        <v>10</v>
      </c>
      <c r="O24" s="19" t="s">
        <v>280</v>
      </c>
      <c r="P24" s="6">
        <v>0.14760000000000001</v>
      </c>
      <c r="Q24" s="11">
        <f t="shared" ref="Q24" si="19">P24*N24</f>
        <v>1.476</v>
      </c>
      <c r="R24" s="10"/>
    </row>
    <row r="25" spans="1:18" ht="36" x14ac:dyDescent="0.25">
      <c r="A25" s="1"/>
      <c r="B25" s="7">
        <v>21</v>
      </c>
      <c r="C25" s="13" t="s">
        <v>318</v>
      </c>
      <c r="D25" s="5" t="s">
        <v>599</v>
      </c>
      <c r="E25" s="5" t="s">
        <v>600</v>
      </c>
      <c r="F25" s="10" t="s">
        <v>380</v>
      </c>
      <c r="G25" s="5" t="s">
        <v>601</v>
      </c>
      <c r="H25" s="5" t="s">
        <v>602</v>
      </c>
      <c r="I25" s="22" t="s">
        <v>923</v>
      </c>
      <c r="J25" s="5" t="s">
        <v>603</v>
      </c>
      <c r="K25" s="5" t="s">
        <v>604</v>
      </c>
      <c r="L25" s="5">
        <v>3</v>
      </c>
      <c r="M25" s="5">
        <f>L25*5</f>
        <v>15</v>
      </c>
      <c r="N25" s="10">
        <v>20</v>
      </c>
      <c r="O25" s="19" t="s">
        <v>280</v>
      </c>
      <c r="P25" s="11">
        <v>0.19239999999999999</v>
      </c>
      <c r="Q25" s="6">
        <f>P25*N25</f>
        <v>3.8479999999999999</v>
      </c>
      <c r="R25" s="5"/>
    </row>
    <row r="26" spans="1:18" x14ac:dyDescent="0.25">
      <c r="A26" s="1"/>
      <c r="B26" s="7">
        <v>22</v>
      </c>
      <c r="C26" s="13" t="s">
        <v>318</v>
      </c>
      <c r="D26" s="10" t="s">
        <v>605</v>
      </c>
      <c r="E26" s="10" t="s">
        <v>606</v>
      </c>
      <c r="F26" s="10" t="s">
        <v>380</v>
      </c>
      <c r="G26" s="10" t="s">
        <v>607</v>
      </c>
      <c r="H26" s="10" t="s">
        <v>608</v>
      </c>
      <c r="I26" s="22" t="s">
        <v>923</v>
      </c>
      <c r="J26" s="10" t="s">
        <v>609</v>
      </c>
      <c r="K26" s="10" t="s">
        <v>610</v>
      </c>
      <c r="L26" s="10">
        <v>1</v>
      </c>
      <c r="M26" s="10">
        <f t="shared" ref="M26" si="20">L26*5</f>
        <v>5</v>
      </c>
      <c r="N26" s="5">
        <v>6</v>
      </c>
      <c r="O26" s="19" t="s">
        <v>280</v>
      </c>
      <c r="P26" s="6">
        <v>0.92190000000000005</v>
      </c>
      <c r="Q26" s="11">
        <f t="shared" ref="Q26" si="21">P26*N26</f>
        <v>5.5314000000000005</v>
      </c>
      <c r="R26" s="10"/>
    </row>
    <row r="27" spans="1:18" x14ac:dyDescent="0.25">
      <c r="A27" s="1"/>
      <c r="B27" s="7">
        <v>23</v>
      </c>
      <c r="C27" s="12" t="s">
        <v>426</v>
      </c>
      <c r="D27" s="5" t="s">
        <v>611</v>
      </c>
      <c r="E27" s="5" t="s">
        <v>612</v>
      </c>
      <c r="F27" s="5" t="s">
        <v>429</v>
      </c>
      <c r="G27" s="14" t="s">
        <v>613</v>
      </c>
      <c r="H27" s="5" t="s">
        <v>431</v>
      </c>
      <c r="I27" s="5" t="s">
        <v>746</v>
      </c>
      <c r="J27" s="5" t="s">
        <v>747</v>
      </c>
      <c r="K27" s="10" t="s">
        <v>114</v>
      </c>
      <c r="L27" s="5">
        <v>1</v>
      </c>
      <c r="M27" s="5">
        <f>L27*5</f>
        <v>5</v>
      </c>
      <c r="N27" s="5">
        <v>10</v>
      </c>
      <c r="O27" s="19" t="s">
        <v>280</v>
      </c>
      <c r="P27" s="6">
        <v>3.5999999999999997E-2</v>
      </c>
      <c r="Q27" s="6">
        <f>P27*N27</f>
        <v>0.36</v>
      </c>
      <c r="R27" s="5"/>
    </row>
    <row r="28" spans="1:18" x14ac:dyDescent="0.25">
      <c r="A28" s="1"/>
      <c r="B28" s="7">
        <v>24</v>
      </c>
      <c r="C28" s="13" t="s">
        <v>426</v>
      </c>
      <c r="D28" s="10" t="s">
        <v>614</v>
      </c>
      <c r="E28" s="10" t="s">
        <v>615</v>
      </c>
      <c r="F28" s="10" t="s">
        <v>429</v>
      </c>
      <c r="G28" s="14" t="s">
        <v>616</v>
      </c>
      <c r="H28" s="10" t="s">
        <v>431</v>
      </c>
      <c r="I28" s="10" t="s">
        <v>748</v>
      </c>
      <c r="J28" s="10" t="s">
        <v>749</v>
      </c>
      <c r="K28" s="10" t="s">
        <v>114</v>
      </c>
      <c r="L28" s="10">
        <v>1</v>
      </c>
      <c r="M28" s="10">
        <f t="shared" ref="M28" si="22">L28*5</f>
        <v>5</v>
      </c>
      <c r="N28" s="10">
        <v>10</v>
      </c>
      <c r="O28" s="19" t="s">
        <v>280</v>
      </c>
      <c r="P28" s="11">
        <v>3.85E-2</v>
      </c>
      <c r="Q28" s="11">
        <f t="shared" ref="Q28" si="23">P28*N28</f>
        <v>0.38500000000000001</v>
      </c>
      <c r="R28" s="10"/>
    </row>
    <row r="29" spans="1:18" x14ac:dyDescent="0.25">
      <c r="A29" s="1"/>
      <c r="B29" s="7">
        <v>25</v>
      </c>
      <c r="C29" s="12" t="s">
        <v>617</v>
      </c>
      <c r="D29" s="5" t="s">
        <v>618</v>
      </c>
      <c r="E29" s="5" t="s">
        <v>619</v>
      </c>
      <c r="F29" s="5" t="s">
        <v>620</v>
      </c>
      <c r="G29" s="5" t="s">
        <v>621</v>
      </c>
      <c r="H29" s="5" t="s">
        <v>622</v>
      </c>
      <c r="I29" s="22" t="s">
        <v>923</v>
      </c>
      <c r="J29" s="5" t="s">
        <v>623</v>
      </c>
      <c r="K29" s="5" t="s">
        <v>114</v>
      </c>
      <c r="L29" s="5">
        <v>1</v>
      </c>
      <c r="M29" s="5">
        <f>L29*5</f>
        <v>5</v>
      </c>
      <c r="N29" s="5">
        <v>6</v>
      </c>
      <c r="O29" s="19" t="s">
        <v>280</v>
      </c>
      <c r="P29" s="6">
        <v>0.54039999999999999</v>
      </c>
      <c r="Q29" s="6">
        <f>P29*N29</f>
        <v>3.2423999999999999</v>
      </c>
      <c r="R29" s="5"/>
    </row>
    <row r="30" spans="1:18" x14ac:dyDescent="0.25">
      <c r="A30" s="1"/>
      <c r="B30" s="7">
        <v>26</v>
      </c>
      <c r="C30" s="13" t="s">
        <v>617</v>
      </c>
      <c r="D30" s="10" t="s">
        <v>624</v>
      </c>
      <c r="E30" s="10" t="s">
        <v>625</v>
      </c>
      <c r="F30" s="10" t="s">
        <v>626</v>
      </c>
      <c r="G30" s="10" t="s">
        <v>627</v>
      </c>
      <c r="H30" s="10" t="s">
        <v>628</v>
      </c>
      <c r="I30" s="22" t="s">
        <v>923</v>
      </c>
      <c r="J30" s="10" t="s">
        <v>629</v>
      </c>
      <c r="K30" s="10" t="s">
        <v>114</v>
      </c>
      <c r="L30" s="10">
        <v>1</v>
      </c>
      <c r="M30" s="10">
        <f t="shared" ref="M30" si="24">L30*5</f>
        <v>5</v>
      </c>
      <c r="N30" s="10">
        <v>6</v>
      </c>
      <c r="O30" s="19" t="s">
        <v>280</v>
      </c>
      <c r="P30" s="11">
        <v>0.54669999999999996</v>
      </c>
      <c r="Q30" s="11">
        <f t="shared" ref="Q30" si="25">P30*N30</f>
        <v>3.2801999999999998</v>
      </c>
      <c r="R30" s="10"/>
    </row>
    <row r="31" spans="1:18" x14ac:dyDescent="0.25">
      <c r="A31" s="1"/>
      <c r="B31" s="7">
        <v>27</v>
      </c>
      <c r="C31" s="12" t="s">
        <v>10</v>
      </c>
      <c r="D31" s="5" t="s">
        <v>630</v>
      </c>
      <c r="E31" s="5" t="s">
        <v>631</v>
      </c>
      <c r="F31" s="5" t="s">
        <v>215</v>
      </c>
      <c r="G31" s="5" t="s">
        <v>632</v>
      </c>
      <c r="H31" s="5" t="s">
        <v>71</v>
      </c>
      <c r="I31" s="22" t="s">
        <v>923</v>
      </c>
      <c r="J31" s="5" t="s">
        <v>633</v>
      </c>
      <c r="K31" s="5" t="s">
        <v>467</v>
      </c>
      <c r="L31" s="5">
        <v>2</v>
      </c>
      <c r="M31" s="5">
        <f>L31*5</f>
        <v>10</v>
      </c>
      <c r="N31" s="10">
        <v>100</v>
      </c>
      <c r="O31" s="21" t="s">
        <v>280</v>
      </c>
      <c r="P31" s="11">
        <v>1.2999999999999999E-3</v>
      </c>
      <c r="Q31" s="6">
        <f>P31*N31</f>
        <v>0.13</v>
      </c>
      <c r="R31" s="5"/>
    </row>
    <row r="32" spans="1:18" x14ac:dyDescent="0.25">
      <c r="A32" s="1"/>
      <c r="B32" s="7">
        <v>28</v>
      </c>
      <c r="C32" s="13" t="s">
        <v>10</v>
      </c>
      <c r="D32" s="10" t="s">
        <v>634</v>
      </c>
      <c r="E32" s="10" t="s">
        <v>635</v>
      </c>
      <c r="F32" s="10" t="s">
        <v>215</v>
      </c>
      <c r="G32" s="10" t="s">
        <v>636</v>
      </c>
      <c r="H32" s="10" t="s">
        <v>71</v>
      </c>
      <c r="I32" s="22" t="s">
        <v>923</v>
      </c>
      <c r="J32" s="10" t="s">
        <v>637</v>
      </c>
      <c r="K32" s="10" t="s">
        <v>638</v>
      </c>
      <c r="L32" s="10">
        <v>2</v>
      </c>
      <c r="M32" s="10">
        <f t="shared" ref="M32" si="26">L32*5</f>
        <v>10</v>
      </c>
      <c r="N32" s="5">
        <v>100</v>
      </c>
      <c r="O32" s="19" t="s">
        <v>280</v>
      </c>
      <c r="P32" s="6">
        <v>1.1999999999999999E-3</v>
      </c>
      <c r="Q32" s="11">
        <f t="shared" ref="Q32" si="27">P32*N32</f>
        <v>0.12</v>
      </c>
      <c r="R32" s="10"/>
    </row>
    <row r="33" spans="1:18" ht="15" customHeight="1" x14ac:dyDescent="0.25">
      <c r="A33" s="1"/>
      <c r="B33" s="7">
        <v>29</v>
      </c>
      <c r="C33" s="12" t="s">
        <v>10</v>
      </c>
      <c r="D33" s="5" t="s">
        <v>639</v>
      </c>
      <c r="E33" s="5" t="s">
        <v>640</v>
      </c>
      <c r="F33" s="5" t="s">
        <v>215</v>
      </c>
      <c r="G33" s="5" t="s">
        <v>641</v>
      </c>
      <c r="H33" s="5" t="s">
        <v>71</v>
      </c>
      <c r="I33" s="22" t="s">
        <v>923</v>
      </c>
      <c r="J33" s="5" t="s">
        <v>642</v>
      </c>
      <c r="K33" s="5" t="s">
        <v>643</v>
      </c>
      <c r="L33" s="5">
        <v>1</v>
      </c>
      <c r="M33" s="5">
        <f>L33*5</f>
        <v>5</v>
      </c>
      <c r="N33" s="10">
        <v>20</v>
      </c>
      <c r="O33" s="19" t="s">
        <v>280</v>
      </c>
      <c r="P33" s="11">
        <v>2.4299999999999999E-2</v>
      </c>
      <c r="Q33" s="6">
        <f>P33*N33</f>
        <v>0.48599999999999999</v>
      </c>
      <c r="R33" s="5"/>
    </row>
    <row r="34" spans="1:18" x14ac:dyDescent="0.25">
      <c r="A34" s="1"/>
      <c r="B34" s="7">
        <v>30</v>
      </c>
      <c r="C34" s="13" t="s">
        <v>10</v>
      </c>
      <c r="D34" s="10" t="s">
        <v>644</v>
      </c>
      <c r="E34" s="10" t="s">
        <v>645</v>
      </c>
      <c r="F34" s="10" t="s">
        <v>215</v>
      </c>
      <c r="G34" s="10" t="s">
        <v>919</v>
      </c>
      <c r="H34" s="10" t="s">
        <v>920</v>
      </c>
      <c r="I34" s="22" t="s">
        <v>923</v>
      </c>
      <c r="J34" s="10" t="s">
        <v>646</v>
      </c>
      <c r="K34" s="10" t="s">
        <v>647</v>
      </c>
      <c r="L34" s="10">
        <v>2</v>
      </c>
      <c r="M34" s="10">
        <f t="shared" ref="M34" si="28">L34*5</f>
        <v>10</v>
      </c>
      <c r="N34" s="5">
        <v>100</v>
      </c>
      <c r="O34" s="19" t="s">
        <v>280</v>
      </c>
      <c r="P34" s="6">
        <v>3.5999999999999999E-3</v>
      </c>
      <c r="Q34" s="11">
        <f t="shared" ref="Q34" si="29">P34*N34</f>
        <v>0.36</v>
      </c>
      <c r="R34" s="10"/>
    </row>
    <row r="35" spans="1:18" x14ac:dyDescent="0.25">
      <c r="A35" s="1"/>
      <c r="B35" s="7">
        <v>31</v>
      </c>
      <c r="C35" s="12" t="s">
        <v>10</v>
      </c>
      <c r="D35" s="5" t="s">
        <v>648</v>
      </c>
      <c r="E35" s="5" t="s">
        <v>228</v>
      </c>
      <c r="F35" s="5" t="s">
        <v>215</v>
      </c>
      <c r="G35" s="5" t="s">
        <v>229</v>
      </c>
      <c r="H35" s="5" t="s">
        <v>71</v>
      </c>
      <c r="I35" s="22" t="s">
        <v>923</v>
      </c>
      <c r="J35" s="5" t="s">
        <v>270</v>
      </c>
      <c r="K35" s="5" t="s">
        <v>271</v>
      </c>
      <c r="L35" s="5">
        <v>1</v>
      </c>
      <c r="M35" s="5">
        <f>L35*5</f>
        <v>5</v>
      </c>
      <c r="N35" s="10">
        <v>100</v>
      </c>
      <c r="O35" s="19" t="s">
        <v>280</v>
      </c>
      <c r="P35" s="11">
        <v>1.1999999999999999E-3</v>
      </c>
      <c r="Q35" s="6">
        <f>P35*N35</f>
        <v>0.12</v>
      </c>
      <c r="R35" s="5"/>
    </row>
    <row r="36" spans="1:18" x14ac:dyDescent="0.25">
      <c r="A36" s="1"/>
      <c r="B36" s="7">
        <v>32</v>
      </c>
      <c r="C36" s="12" t="s">
        <v>10</v>
      </c>
      <c r="D36" s="10" t="s">
        <v>649</v>
      </c>
      <c r="E36" s="10" t="s">
        <v>650</v>
      </c>
      <c r="F36" s="10" t="s">
        <v>49</v>
      </c>
      <c r="G36" s="10" t="s">
        <v>651</v>
      </c>
      <c r="H36" s="10" t="s">
        <v>608</v>
      </c>
      <c r="I36" s="22" t="s">
        <v>923</v>
      </c>
      <c r="J36" s="10" t="s">
        <v>652</v>
      </c>
      <c r="K36" s="10" t="s">
        <v>164</v>
      </c>
      <c r="L36" s="10">
        <v>2</v>
      </c>
      <c r="M36" s="10">
        <f t="shared" ref="M36" si="30">L36*5</f>
        <v>10</v>
      </c>
      <c r="N36" s="5">
        <v>20</v>
      </c>
      <c r="O36" s="19" t="s">
        <v>280</v>
      </c>
      <c r="P36" s="6">
        <v>2.07E-2</v>
      </c>
      <c r="Q36" s="11">
        <f t="shared" ref="Q36" si="31">P36*N36</f>
        <v>0.41399999999999998</v>
      </c>
      <c r="R36" s="10"/>
    </row>
    <row r="37" spans="1:18" x14ac:dyDescent="0.25">
      <c r="A37" s="1"/>
      <c r="B37" s="7">
        <v>33</v>
      </c>
      <c r="C37" s="12" t="s">
        <v>10</v>
      </c>
      <c r="D37" s="5" t="s">
        <v>653</v>
      </c>
      <c r="E37" s="5" t="s">
        <v>326</v>
      </c>
      <c r="F37" s="5" t="s">
        <v>49</v>
      </c>
      <c r="G37" s="5" t="s">
        <v>327</v>
      </c>
      <c r="H37" s="5" t="s">
        <v>71</v>
      </c>
      <c r="I37" s="22" t="s">
        <v>923</v>
      </c>
      <c r="J37" s="5" t="s">
        <v>328</v>
      </c>
      <c r="K37" s="5" t="s">
        <v>329</v>
      </c>
      <c r="L37" s="5">
        <v>1</v>
      </c>
      <c r="M37" s="5">
        <f>L37*5</f>
        <v>5</v>
      </c>
      <c r="N37" s="5">
        <v>100</v>
      </c>
      <c r="O37" s="19" t="s">
        <v>280</v>
      </c>
      <c r="P37" s="6">
        <v>6.9999999999999999E-4</v>
      </c>
      <c r="Q37" s="6">
        <f>P37*N37</f>
        <v>6.9999999999999993E-2</v>
      </c>
      <c r="R37" s="5"/>
    </row>
    <row r="38" spans="1:18" x14ac:dyDescent="0.25">
      <c r="A38" s="1"/>
      <c r="B38" s="7">
        <v>34</v>
      </c>
      <c r="C38" s="12" t="s">
        <v>10</v>
      </c>
      <c r="D38" s="10" t="s">
        <v>654</v>
      </c>
      <c r="E38" s="10" t="s">
        <v>655</v>
      </c>
      <c r="F38" s="10" t="s">
        <v>49</v>
      </c>
      <c r="G38" s="10" t="s">
        <v>656</v>
      </c>
      <c r="H38" s="10" t="s">
        <v>71</v>
      </c>
      <c r="I38" s="22" t="s">
        <v>923</v>
      </c>
      <c r="J38" s="10" t="s">
        <v>657</v>
      </c>
      <c r="K38" s="10" t="s">
        <v>263</v>
      </c>
      <c r="L38" s="10">
        <v>3</v>
      </c>
      <c r="M38" s="10">
        <f t="shared" ref="M38" si="32">L38*5</f>
        <v>15</v>
      </c>
      <c r="N38" s="10">
        <v>100</v>
      </c>
      <c r="O38" s="19" t="s">
        <v>280</v>
      </c>
      <c r="P38" s="11">
        <v>6.9999999999999999E-4</v>
      </c>
      <c r="Q38" s="11">
        <f t="shared" ref="Q38" si="33">P38*N38</f>
        <v>6.9999999999999993E-2</v>
      </c>
      <c r="R38" s="10"/>
    </row>
    <row r="39" spans="1:18" x14ac:dyDescent="0.25">
      <c r="A39" s="1"/>
      <c r="B39" s="7">
        <v>35</v>
      </c>
      <c r="C39" s="12" t="s">
        <v>10</v>
      </c>
      <c r="D39" s="5" t="s">
        <v>658</v>
      </c>
      <c r="E39" s="5" t="s">
        <v>659</v>
      </c>
      <c r="F39" s="5" t="s">
        <v>49</v>
      </c>
      <c r="G39" s="14" t="s">
        <v>660</v>
      </c>
      <c r="H39" s="5" t="s">
        <v>608</v>
      </c>
      <c r="I39" s="10" t="s">
        <v>921</v>
      </c>
      <c r="J39" s="5" t="s">
        <v>922</v>
      </c>
      <c r="K39" s="5" t="s">
        <v>661</v>
      </c>
      <c r="L39" s="5">
        <v>1</v>
      </c>
      <c r="M39" s="5">
        <f>L39*5</f>
        <v>5</v>
      </c>
      <c r="N39" s="5">
        <v>100</v>
      </c>
      <c r="O39" s="20" t="s">
        <v>280</v>
      </c>
      <c r="P39" s="6">
        <v>5.0000000000000001E-3</v>
      </c>
      <c r="Q39" s="6">
        <f>P39*N39</f>
        <v>0.5</v>
      </c>
      <c r="R39" s="5"/>
    </row>
    <row r="40" spans="1:18" x14ac:dyDescent="0.25">
      <c r="A40" s="1"/>
      <c r="B40" s="7">
        <v>36</v>
      </c>
      <c r="C40" s="12" t="s">
        <v>10</v>
      </c>
      <c r="D40" s="10" t="s">
        <v>662</v>
      </c>
      <c r="E40" s="10" t="s">
        <v>663</v>
      </c>
      <c r="F40" s="10" t="s">
        <v>49</v>
      </c>
      <c r="G40" s="10" t="s">
        <v>664</v>
      </c>
      <c r="H40" s="10" t="s">
        <v>71</v>
      </c>
      <c r="I40" s="22" t="s">
        <v>923</v>
      </c>
      <c r="J40" s="10" t="s">
        <v>665</v>
      </c>
      <c r="K40" s="10" t="s">
        <v>647</v>
      </c>
      <c r="L40" s="10">
        <v>2</v>
      </c>
      <c r="M40" s="10">
        <f t="shared" ref="M40" si="34">L40*5</f>
        <v>10</v>
      </c>
      <c r="N40" s="5">
        <v>100</v>
      </c>
      <c r="O40" s="19" t="s">
        <v>280</v>
      </c>
      <c r="P40" s="6">
        <v>5.9999999999999995E-4</v>
      </c>
      <c r="Q40" s="11">
        <f t="shared" ref="Q40" si="35">P40*N40</f>
        <v>0.06</v>
      </c>
      <c r="R40" s="10"/>
    </row>
    <row r="41" spans="1:18" ht="36" x14ac:dyDescent="0.25">
      <c r="A41" s="1"/>
      <c r="B41" s="7">
        <v>37</v>
      </c>
      <c r="C41" s="12" t="s">
        <v>10</v>
      </c>
      <c r="D41" s="5" t="s">
        <v>666</v>
      </c>
      <c r="E41" s="5" t="s">
        <v>667</v>
      </c>
      <c r="F41" s="5" t="s">
        <v>215</v>
      </c>
      <c r="G41" s="5" t="s">
        <v>668</v>
      </c>
      <c r="H41" s="5" t="s">
        <v>669</v>
      </c>
      <c r="I41" s="22" t="s">
        <v>923</v>
      </c>
      <c r="J41" s="5" t="s">
        <v>670</v>
      </c>
      <c r="K41" s="5" t="s">
        <v>671</v>
      </c>
      <c r="L41" s="5">
        <v>1</v>
      </c>
      <c r="M41" s="5">
        <f>L41*5</f>
        <v>5</v>
      </c>
      <c r="N41" s="5">
        <v>100</v>
      </c>
      <c r="O41" s="19" t="s">
        <v>280</v>
      </c>
      <c r="P41" s="6">
        <v>8.9999999999999998E-4</v>
      </c>
      <c r="Q41" s="6">
        <f>P41*N41</f>
        <v>0.09</v>
      </c>
      <c r="R41" s="5"/>
    </row>
    <row r="42" spans="1:18" x14ac:dyDescent="0.25">
      <c r="A42" s="1"/>
      <c r="B42" s="7">
        <v>38</v>
      </c>
      <c r="C42" s="13" t="s">
        <v>10</v>
      </c>
      <c r="D42" s="10" t="s">
        <v>672</v>
      </c>
      <c r="E42" s="10" t="s">
        <v>673</v>
      </c>
      <c r="F42" s="10" t="s">
        <v>674</v>
      </c>
      <c r="G42" s="10" t="s">
        <v>675</v>
      </c>
      <c r="H42" s="10" t="s">
        <v>71</v>
      </c>
      <c r="I42" s="22" t="s">
        <v>923</v>
      </c>
      <c r="J42" s="10" t="s">
        <v>676</v>
      </c>
      <c r="K42" s="10" t="s">
        <v>677</v>
      </c>
      <c r="L42" s="10">
        <v>1</v>
      </c>
      <c r="M42" s="10">
        <f t="shared" ref="M42" si="36">L42*5</f>
        <v>5</v>
      </c>
      <c r="N42" s="10">
        <v>100</v>
      </c>
      <c r="O42" s="19" t="s">
        <v>280</v>
      </c>
      <c r="P42" s="11">
        <v>2.0999999999999999E-3</v>
      </c>
      <c r="Q42" s="11">
        <f t="shared" ref="Q42" si="37">P42*N42</f>
        <v>0.21</v>
      </c>
      <c r="R42" s="10"/>
    </row>
    <row r="43" spans="1:18" x14ac:dyDescent="0.25">
      <c r="A43" s="1"/>
      <c r="B43" s="7">
        <v>39</v>
      </c>
      <c r="C43" s="12" t="s">
        <v>10</v>
      </c>
      <c r="D43" s="5" t="s">
        <v>678</v>
      </c>
      <c r="E43" s="5" t="s">
        <v>679</v>
      </c>
      <c r="F43" s="5" t="s">
        <v>674</v>
      </c>
      <c r="G43" s="5" t="s">
        <v>680</v>
      </c>
      <c r="H43" s="5" t="s">
        <v>71</v>
      </c>
      <c r="I43" s="22" t="s">
        <v>923</v>
      </c>
      <c r="J43" s="5" t="s">
        <v>681</v>
      </c>
      <c r="K43" s="5" t="s">
        <v>682</v>
      </c>
      <c r="L43" s="5">
        <v>1</v>
      </c>
      <c r="M43" s="5">
        <f>L43*5</f>
        <v>5</v>
      </c>
      <c r="N43" s="5">
        <v>100</v>
      </c>
      <c r="O43" s="19" t="s">
        <v>280</v>
      </c>
      <c r="P43" s="6">
        <v>2.5999999999999999E-3</v>
      </c>
      <c r="Q43" s="6">
        <f>P43*N43</f>
        <v>0.26</v>
      </c>
      <c r="R43" s="5"/>
    </row>
    <row r="44" spans="1:18" ht="36" x14ac:dyDescent="0.25">
      <c r="A44" s="1"/>
      <c r="B44" s="7">
        <v>40</v>
      </c>
      <c r="C44" s="13" t="s">
        <v>10</v>
      </c>
      <c r="D44" s="10" t="s">
        <v>683</v>
      </c>
      <c r="E44" s="10" t="s">
        <v>684</v>
      </c>
      <c r="F44" s="10" t="s">
        <v>49</v>
      </c>
      <c r="G44" s="10" t="s">
        <v>685</v>
      </c>
      <c r="H44" s="10" t="s">
        <v>686</v>
      </c>
      <c r="I44" s="22" t="s">
        <v>923</v>
      </c>
      <c r="J44" s="10" t="s">
        <v>687</v>
      </c>
      <c r="K44" s="10" t="s">
        <v>688</v>
      </c>
      <c r="L44" s="10">
        <v>1</v>
      </c>
      <c r="M44" s="10">
        <f t="shared" ref="M44" si="38">L44*5</f>
        <v>5</v>
      </c>
      <c r="N44" s="10">
        <v>100</v>
      </c>
      <c r="O44" s="19" t="s">
        <v>280</v>
      </c>
      <c r="P44" s="11">
        <v>5.0000000000000001E-4</v>
      </c>
      <c r="Q44" s="11">
        <f t="shared" ref="Q44" si="39">P44*N44</f>
        <v>0.05</v>
      </c>
      <c r="R44" s="10"/>
    </row>
    <row r="45" spans="1:18" x14ac:dyDescent="0.25">
      <c r="A45" s="1"/>
      <c r="B45" s="7">
        <v>41</v>
      </c>
      <c r="C45" s="12" t="s">
        <v>10</v>
      </c>
      <c r="D45" s="5" t="s">
        <v>689</v>
      </c>
      <c r="E45" s="5" t="s">
        <v>690</v>
      </c>
      <c r="F45" s="5" t="s">
        <v>215</v>
      </c>
      <c r="G45" s="5" t="s">
        <v>691</v>
      </c>
      <c r="H45" s="5" t="s">
        <v>71</v>
      </c>
      <c r="I45" s="22" t="s">
        <v>923</v>
      </c>
      <c r="J45" s="5" t="s">
        <v>692</v>
      </c>
      <c r="K45" s="5" t="s">
        <v>99</v>
      </c>
      <c r="L45" s="5">
        <v>2</v>
      </c>
      <c r="M45" s="5">
        <f>L45*5</f>
        <v>10</v>
      </c>
      <c r="N45" s="5">
        <v>100</v>
      </c>
      <c r="O45" s="19" t="s">
        <v>280</v>
      </c>
      <c r="P45" s="6">
        <v>1E-3</v>
      </c>
      <c r="Q45" s="6">
        <f>P45*N45</f>
        <v>0.1</v>
      </c>
      <c r="R45" s="5"/>
    </row>
    <row r="46" spans="1:18" x14ac:dyDescent="0.25">
      <c r="A46" s="1"/>
      <c r="B46" s="7">
        <v>42</v>
      </c>
      <c r="C46" s="13" t="s">
        <v>10</v>
      </c>
      <c r="D46" s="10" t="s">
        <v>693</v>
      </c>
      <c r="E46" s="10" t="s">
        <v>694</v>
      </c>
      <c r="F46" s="10" t="s">
        <v>50</v>
      </c>
      <c r="G46" s="10" t="s">
        <v>695</v>
      </c>
      <c r="H46" s="10" t="s">
        <v>608</v>
      </c>
      <c r="I46" s="22" t="s">
        <v>923</v>
      </c>
      <c r="J46" s="10" t="s">
        <v>696</v>
      </c>
      <c r="K46" s="10" t="s">
        <v>697</v>
      </c>
      <c r="L46" s="10">
        <v>1</v>
      </c>
      <c r="M46" s="10">
        <f t="shared" ref="M46" si="40">L46*5</f>
        <v>5</v>
      </c>
      <c r="N46" s="10">
        <v>6</v>
      </c>
      <c r="O46" s="19" t="s">
        <v>280</v>
      </c>
      <c r="P46" s="11">
        <v>0.47749999999999998</v>
      </c>
      <c r="Q46" s="11">
        <f t="shared" ref="Q46" si="41">P46*N46</f>
        <v>2.8649999999999998</v>
      </c>
      <c r="R46" s="10"/>
    </row>
    <row r="47" spans="1:18" x14ac:dyDescent="0.25">
      <c r="A47" s="1"/>
      <c r="B47" s="7">
        <v>43</v>
      </c>
      <c r="C47" s="12" t="s">
        <v>10</v>
      </c>
      <c r="D47" s="5" t="s">
        <v>698</v>
      </c>
      <c r="E47" s="5" t="s">
        <v>699</v>
      </c>
      <c r="F47" s="5" t="s">
        <v>674</v>
      </c>
      <c r="G47" s="5" t="s">
        <v>700</v>
      </c>
      <c r="H47" s="5" t="s">
        <v>71</v>
      </c>
      <c r="I47" s="22" t="s">
        <v>923</v>
      </c>
      <c r="J47" s="5" t="s">
        <v>701</v>
      </c>
      <c r="K47" s="5" t="s">
        <v>702</v>
      </c>
      <c r="L47" s="5">
        <v>1</v>
      </c>
      <c r="M47" s="5">
        <f>L47*5</f>
        <v>5</v>
      </c>
      <c r="N47" s="5">
        <v>20</v>
      </c>
      <c r="O47" s="19" t="s">
        <v>280</v>
      </c>
      <c r="P47" s="6">
        <v>3.6900000000000002E-2</v>
      </c>
      <c r="Q47" s="6">
        <f>P47*N47</f>
        <v>0.73799999999999999</v>
      </c>
      <c r="R47" s="5"/>
    </row>
    <row r="48" spans="1:18" x14ac:dyDescent="0.25">
      <c r="A48" s="1"/>
      <c r="B48" s="7">
        <v>44</v>
      </c>
      <c r="C48" s="12" t="s">
        <v>10</v>
      </c>
      <c r="D48" s="10" t="s">
        <v>703</v>
      </c>
      <c r="E48" s="10" t="s">
        <v>704</v>
      </c>
      <c r="F48" s="10" t="s">
        <v>674</v>
      </c>
      <c r="G48" s="10" t="s">
        <v>705</v>
      </c>
      <c r="H48" s="10" t="s">
        <v>71</v>
      </c>
      <c r="I48" s="22" t="s">
        <v>923</v>
      </c>
      <c r="J48" s="10" t="s">
        <v>706</v>
      </c>
      <c r="K48" s="10" t="s">
        <v>707</v>
      </c>
      <c r="L48" s="10">
        <v>1</v>
      </c>
      <c r="M48" s="10">
        <f t="shared" ref="M48" si="42">L48*5</f>
        <v>5</v>
      </c>
      <c r="N48" s="10">
        <v>20</v>
      </c>
      <c r="O48" s="19" t="s">
        <v>280</v>
      </c>
      <c r="P48" s="11">
        <v>3.6999999999999998E-2</v>
      </c>
      <c r="Q48" s="11">
        <f t="shared" ref="Q48" si="43">P48*N48</f>
        <v>0.74</v>
      </c>
      <c r="R48" s="10"/>
    </row>
    <row r="49" spans="1:36" ht="36" x14ac:dyDescent="0.25">
      <c r="A49" s="1"/>
      <c r="B49" s="7">
        <v>45</v>
      </c>
      <c r="C49" s="12" t="s">
        <v>10</v>
      </c>
      <c r="D49" s="5" t="s">
        <v>708</v>
      </c>
      <c r="E49" s="5" t="s">
        <v>709</v>
      </c>
      <c r="F49" s="5" t="s">
        <v>49</v>
      </c>
      <c r="G49" s="5" t="s">
        <v>710</v>
      </c>
      <c r="H49" s="5" t="s">
        <v>223</v>
      </c>
      <c r="I49" s="22" t="s">
        <v>923</v>
      </c>
      <c r="J49" s="5" t="s">
        <v>711</v>
      </c>
      <c r="K49" s="5" t="s">
        <v>712</v>
      </c>
      <c r="L49" s="5">
        <v>1</v>
      </c>
      <c r="M49" s="5">
        <f>L49*5</f>
        <v>5</v>
      </c>
      <c r="N49" s="5">
        <v>100</v>
      </c>
      <c r="O49" s="19" t="s">
        <v>280</v>
      </c>
      <c r="P49" s="6">
        <v>5.0000000000000001E-4</v>
      </c>
      <c r="Q49" s="6">
        <f>P49*N49</f>
        <v>0.05</v>
      </c>
      <c r="R49" s="5"/>
    </row>
    <row r="50" spans="1:36" x14ac:dyDescent="0.25">
      <c r="A50" s="1"/>
      <c r="B50" s="7">
        <v>46</v>
      </c>
      <c r="C50" s="13" t="s">
        <v>10</v>
      </c>
      <c r="D50" s="10" t="s">
        <v>713</v>
      </c>
      <c r="E50" s="10" t="s">
        <v>714</v>
      </c>
      <c r="F50" s="10" t="s">
        <v>215</v>
      </c>
      <c r="G50" s="10" t="s">
        <v>715</v>
      </c>
      <c r="H50" s="10" t="s">
        <v>71</v>
      </c>
      <c r="I50" s="22" t="s">
        <v>923</v>
      </c>
      <c r="J50" s="10" t="s">
        <v>716</v>
      </c>
      <c r="K50" s="10" t="s">
        <v>717</v>
      </c>
      <c r="L50" s="10">
        <v>2</v>
      </c>
      <c r="M50" s="10">
        <f t="shared" ref="M50" si="44">L50*5</f>
        <v>10</v>
      </c>
      <c r="N50" s="10">
        <v>50</v>
      </c>
      <c r="O50" s="19" t="s">
        <v>280</v>
      </c>
      <c r="P50" s="11">
        <v>7.7000000000000002E-3</v>
      </c>
      <c r="Q50" s="11">
        <f t="shared" ref="Q50" si="45">P50*N50</f>
        <v>0.38500000000000001</v>
      </c>
      <c r="R50" s="10"/>
    </row>
    <row r="51" spans="1:36" x14ac:dyDescent="0.25">
      <c r="A51" s="1"/>
      <c r="B51" s="7">
        <v>47</v>
      </c>
      <c r="C51" s="12" t="s">
        <v>10</v>
      </c>
      <c r="D51" s="5" t="s">
        <v>718</v>
      </c>
      <c r="E51" s="5" t="s">
        <v>719</v>
      </c>
      <c r="F51" s="5" t="s">
        <v>215</v>
      </c>
      <c r="G51" s="5" t="s">
        <v>720</v>
      </c>
      <c r="H51" s="5" t="s">
        <v>71</v>
      </c>
      <c r="I51" s="22" t="s">
        <v>923</v>
      </c>
      <c r="J51" s="5" t="s">
        <v>721</v>
      </c>
      <c r="K51" s="5" t="s">
        <v>335</v>
      </c>
      <c r="L51" s="5">
        <v>1</v>
      </c>
      <c r="M51" s="5">
        <f>L51*5</f>
        <v>5</v>
      </c>
      <c r="N51" s="5">
        <v>20</v>
      </c>
      <c r="O51" s="19" t="s">
        <v>280</v>
      </c>
      <c r="P51" s="6">
        <v>2.4299999999999999E-2</v>
      </c>
      <c r="Q51" s="6">
        <f>P51*N51</f>
        <v>0.48599999999999999</v>
      </c>
      <c r="R51" s="5"/>
    </row>
    <row r="52" spans="1:36" ht="24" x14ac:dyDescent="0.25">
      <c r="A52" s="1"/>
      <c r="B52" s="7">
        <v>48</v>
      </c>
      <c r="C52" s="13" t="s">
        <v>8</v>
      </c>
      <c r="D52" s="10" t="s">
        <v>722</v>
      </c>
      <c r="E52" s="10" t="s">
        <v>723</v>
      </c>
      <c r="F52" s="10" t="s">
        <v>724</v>
      </c>
      <c r="G52" s="10" t="s">
        <v>725</v>
      </c>
      <c r="H52" s="10" t="s">
        <v>726</v>
      </c>
      <c r="I52" s="22" t="s">
        <v>923</v>
      </c>
      <c r="J52" s="10" t="s">
        <v>727</v>
      </c>
      <c r="K52" s="10" t="s">
        <v>114</v>
      </c>
      <c r="L52" s="10">
        <v>1</v>
      </c>
      <c r="M52" s="10">
        <f t="shared" ref="M52" si="46">L52*5</f>
        <v>5</v>
      </c>
      <c r="N52" s="5">
        <v>6</v>
      </c>
      <c r="O52" s="19" t="s">
        <v>280</v>
      </c>
      <c r="P52" s="6">
        <v>1.7825</v>
      </c>
      <c r="Q52" s="11">
        <f t="shared" ref="Q52" si="47">P52*N52</f>
        <v>10.695</v>
      </c>
      <c r="R52" s="1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x14ac:dyDescent="0.25">
      <c r="A53" s="1"/>
      <c r="B53" s="7">
        <v>49</v>
      </c>
      <c r="C53" s="12" t="s">
        <v>8</v>
      </c>
      <c r="D53" s="5" t="s">
        <v>728</v>
      </c>
      <c r="E53" s="5" t="s">
        <v>729</v>
      </c>
      <c r="F53" s="5" t="s">
        <v>730</v>
      </c>
      <c r="G53" s="5" t="s">
        <v>731</v>
      </c>
      <c r="H53" s="5" t="s">
        <v>76</v>
      </c>
      <c r="I53" s="22" t="s">
        <v>923</v>
      </c>
      <c r="J53" s="5" t="s">
        <v>732</v>
      </c>
      <c r="K53" s="10" t="s">
        <v>114</v>
      </c>
      <c r="L53" s="5">
        <v>1</v>
      </c>
      <c r="M53" s="5">
        <f>L53*5</f>
        <v>5</v>
      </c>
      <c r="N53" s="10">
        <v>6</v>
      </c>
      <c r="O53" s="19" t="s">
        <v>280</v>
      </c>
      <c r="P53" s="11">
        <v>0.61419999999999997</v>
      </c>
      <c r="Q53" s="6">
        <f>P53*N53</f>
        <v>3.6852</v>
      </c>
      <c r="R53" s="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24" x14ac:dyDescent="0.25">
      <c r="A54" s="1"/>
      <c r="B54" s="7">
        <v>50</v>
      </c>
      <c r="C54" s="13" t="s">
        <v>8</v>
      </c>
      <c r="D54" s="10" t="s">
        <v>733</v>
      </c>
      <c r="E54" s="10" t="s">
        <v>734</v>
      </c>
      <c r="F54" s="10" t="s">
        <v>735</v>
      </c>
      <c r="G54" s="10" t="s">
        <v>736</v>
      </c>
      <c r="H54" s="10" t="s">
        <v>737</v>
      </c>
      <c r="I54" s="22" t="s">
        <v>923</v>
      </c>
      <c r="J54" s="10" t="s">
        <v>738</v>
      </c>
      <c r="K54" s="10" t="s">
        <v>114</v>
      </c>
      <c r="L54" s="10">
        <v>1</v>
      </c>
      <c r="M54" s="10">
        <f t="shared" ref="M54" si="48">L54*5</f>
        <v>5</v>
      </c>
      <c r="N54" s="10">
        <v>10</v>
      </c>
      <c r="O54" s="19" t="s">
        <v>280</v>
      </c>
      <c r="P54" s="11">
        <v>0.15359999999999999</v>
      </c>
      <c r="Q54" s="11">
        <f t="shared" ref="Q54" si="49">P54*N54</f>
        <v>1.5359999999999998</v>
      </c>
      <c r="R54" s="10"/>
    </row>
    <row r="55" spans="1:36" ht="15.75" thickBot="1" x14ac:dyDescent="0.3">
      <c r="A55" s="1"/>
      <c r="B55" s="7">
        <v>51</v>
      </c>
      <c r="C55" s="12" t="s">
        <v>8</v>
      </c>
      <c r="D55" s="5" t="s">
        <v>739</v>
      </c>
      <c r="E55" s="5" t="s">
        <v>740</v>
      </c>
      <c r="F55" s="5" t="s">
        <v>735</v>
      </c>
      <c r="G55" s="5" t="s">
        <v>741</v>
      </c>
      <c r="H55" s="5" t="s">
        <v>72</v>
      </c>
      <c r="I55" s="22" t="s">
        <v>923</v>
      </c>
      <c r="J55" s="5" t="s">
        <v>742</v>
      </c>
      <c r="K55" s="10" t="s">
        <v>114</v>
      </c>
      <c r="L55" s="5">
        <v>2</v>
      </c>
      <c r="M55" s="5">
        <f>L55*5</f>
        <v>10</v>
      </c>
      <c r="N55" s="10">
        <v>15</v>
      </c>
      <c r="O55" s="19" t="s">
        <v>280</v>
      </c>
      <c r="P55" s="11">
        <v>0.19159999999999999</v>
      </c>
      <c r="Q55" s="6">
        <f>P55*N55</f>
        <v>2.8739999999999997</v>
      </c>
      <c r="R55" s="5"/>
    </row>
    <row r="56" spans="1:36" ht="15.75" customHeight="1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3" t="s">
        <v>1</v>
      </c>
      <c r="O56" s="24"/>
      <c r="P56" s="24"/>
      <c r="Q56" s="8">
        <f>SUM(Q5:Q55)</f>
        <v>60.802199999999999</v>
      </c>
      <c r="R56" s="1"/>
    </row>
    <row r="57" spans="1:36" ht="19.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3" t="s">
        <v>2</v>
      </c>
      <c r="O57" s="24"/>
      <c r="P57" s="24"/>
      <c r="Q57" s="9">
        <f>Q56/5</f>
        <v>12.160439999999999</v>
      </c>
      <c r="R57" s="1"/>
    </row>
    <row r="58" spans="1:36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</row>
    <row r="59" spans="1:36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 spans="1:36" ht="26.25" x14ac:dyDescent="0.25">
      <c r="A60" s="1"/>
      <c r="B60" s="2"/>
      <c r="C60" s="2"/>
      <c r="D60" s="17"/>
      <c r="E60" s="17"/>
      <c r="F60" s="17"/>
      <c r="G60" s="25" t="s">
        <v>379</v>
      </c>
      <c r="H60" s="25"/>
      <c r="I60" s="25"/>
      <c r="J60" s="17"/>
      <c r="K60" s="18"/>
      <c r="L60" s="18"/>
      <c r="M60" s="18"/>
      <c r="N60" s="18"/>
      <c r="O60" s="18"/>
      <c r="P60" s="18"/>
      <c r="Q60" s="18"/>
      <c r="R60" s="18"/>
    </row>
    <row r="61" spans="1:36" ht="15.75" thickBot="1" x14ac:dyDescent="0.3">
      <c r="A61" s="1"/>
      <c r="B61" s="2"/>
      <c r="C61" s="2"/>
      <c r="D61" s="17"/>
      <c r="E61" s="17"/>
      <c r="F61" s="17"/>
      <c r="G61" s="17"/>
      <c r="H61" s="17"/>
      <c r="I61" s="17"/>
      <c r="J61" s="17"/>
      <c r="K61" s="18"/>
      <c r="L61" s="18"/>
      <c r="M61" s="18"/>
      <c r="N61" s="18"/>
      <c r="O61" s="18"/>
      <c r="P61" s="18"/>
      <c r="Q61" s="18"/>
      <c r="R61" s="18"/>
    </row>
    <row r="62" spans="1:36" ht="15.75" thickBot="1" x14ac:dyDescent="0.3">
      <c r="A62" s="1"/>
      <c r="B62" s="4" t="s">
        <v>0</v>
      </c>
      <c r="C62" s="4" t="s">
        <v>3</v>
      </c>
      <c r="D62" s="4" t="s">
        <v>11</v>
      </c>
      <c r="E62" s="4" t="s">
        <v>20</v>
      </c>
      <c r="F62" s="4" t="s">
        <v>40</v>
      </c>
      <c r="G62" s="4" t="s">
        <v>52</v>
      </c>
      <c r="H62" s="4" t="s">
        <v>70</v>
      </c>
      <c r="I62" s="4" t="s">
        <v>116</v>
      </c>
      <c r="J62" s="4" t="s">
        <v>78</v>
      </c>
      <c r="K62" s="4" t="s">
        <v>108</v>
      </c>
      <c r="L62" s="4" t="s">
        <v>106</v>
      </c>
      <c r="M62" s="4" t="s">
        <v>107</v>
      </c>
      <c r="N62" s="4" t="s">
        <v>109</v>
      </c>
      <c r="O62" s="4" t="s">
        <v>110</v>
      </c>
      <c r="P62" s="4" t="s">
        <v>111</v>
      </c>
      <c r="Q62" s="4" t="s">
        <v>112</v>
      </c>
      <c r="R62" s="4" t="s">
        <v>113</v>
      </c>
    </row>
    <row r="63" spans="1:36" ht="24" x14ac:dyDescent="0.25">
      <c r="A63" s="1"/>
      <c r="B63" s="7">
        <v>1</v>
      </c>
      <c r="C63" s="12" t="s">
        <v>4</v>
      </c>
      <c r="D63" s="5" t="s">
        <v>283</v>
      </c>
      <c r="E63" s="5" t="s">
        <v>284</v>
      </c>
      <c r="F63" s="5" t="s">
        <v>42</v>
      </c>
      <c r="G63" s="5" t="s">
        <v>285</v>
      </c>
      <c r="H63" s="5" t="s">
        <v>71</v>
      </c>
      <c r="I63" s="22" t="s">
        <v>923</v>
      </c>
      <c r="J63" s="5" t="s">
        <v>286</v>
      </c>
      <c r="K63" s="5" t="s">
        <v>287</v>
      </c>
      <c r="L63" s="5">
        <v>9</v>
      </c>
      <c r="M63" s="5">
        <f>L63*5</f>
        <v>45</v>
      </c>
      <c r="N63" s="5">
        <v>60</v>
      </c>
      <c r="O63" s="20" t="s">
        <v>280</v>
      </c>
      <c r="P63" s="6">
        <v>2.7099999999999999E-2</v>
      </c>
      <c r="Q63" s="6">
        <f>P63*N63</f>
        <v>1.6259999999999999</v>
      </c>
      <c r="R63" s="5"/>
    </row>
    <row r="64" spans="1:36" x14ac:dyDescent="0.25">
      <c r="A64" s="1"/>
      <c r="B64" s="7">
        <v>2</v>
      </c>
      <c r="C64" s="12" t="s">
        <v>4</v>
      </c>
      <c r="D64" s="10" t="s">
        <v>288</v>
      </c>
      <c r="E64" s="10" t="s">
        <v>289</v>
      </c>
      <c r="F64" s="10" t="s">
        <v>42</v>
      </c>
      <c r="G64" s="10" t="s">
        <v>290</v>
      </c>
      <c r="H64" s="10" t="s">
        <v>71</v>
      </c>
      <c r="I64" s="22" t="s">
        <v>923</v>
      </c>
      <c r="J64" s="10" t="s">
        <v>291</v>
      </c>
      <c r="K64" s="10" t="s">
        <v>292</v>
      </c>
      <c r="L64" s="10">
        <v>8</v>
      </c>
      <c r="M64" s="10">
        <f t="shared" ref="M64" si="50">L64*5</f>
        <v>40</v>
      </c>
      <c r="N64" s="10">
        <v>100</v>
      </c>
      <c r="O64" s="19" t="s">
        <v>280</v>
      </c>
      <c r="P64" s="11">
        <v>1.9300000000000001E-2</v>
      </c>
      <c r="Q64" s="11">
        <f t="shared" ref="Q64" si="51">P64*N64</f>
        <v>1.9300000000000002</v>
      </c>
      <c r="R64" s="10"/>
    </row>
    <row r="65" spans="1:18" ht="36" x14ac:dyDescent="0.25">
      <c r="A65" s="1"/>
      <c r="B65" s="7">
        <v>3</v>
      </c>
      <c r="C65" s="12" t="s">
        <v>4</v>
      </c>
      <c r="D65" s="5" t="s">
        <v>293</v>
      </c>
      <c r="E65" s="5" t="s">
        <v>294</v>
      </c>
      <c r="F65" s="5" t="s">
        <v>43</v>
      </c>
      <c r="G65" s="5" t="s">
        <v>295</v>
      </c>
      <c r="H65" s="5" t="s">
        <v>71</v>
      </c>
      <c r="I65" s="22" t="s">
        <v>923</v>
      </c>
      <c r="J65" s="5" t="s">
        <v>296</v>
      </c>
      <c r="K65" s="5" t="s">
        <v>98</v>
      </c>
      <c r="L65" s="5">
        <v>19</v>
      </c>
      <c r="M65" s="5">
        <f>L65*5</f>
        <v>95</v>
      </c>
      <c r="N65" s="5">
        <v>100</v>
      </c>
      <c r="O65" s="19" t="s">
        <v>280</v>
      </c>
      <c r="P65" s="6">
        <v>2.5999999999999999E-3</v>
      </c>
      <c r="Q65" s="6">
        <f>P65*N65</f>
        <v>0.26</v>
      </c>
      <c r="R65" s="5"/>
    </row>
    <row r="66" spans="1:18" x14ac:dyDescent="0.25">
      <c r="A66" s="1"/>
      <c r="B66" s="7">
        <v>4</v>
      </c>
      <c r="C66" s="13" t="s">
        <v>4</v>
      </c>
      <c r="D66" s="10" t="s">
        <v>297</v>
      </c>
      <c r="E66" s="10" t="s">
        <v>298</v>
      </c>
      <c r="F66" s="10" t="s">
        <v>43</v>
      </c>
      <c r="G66" s="10" t="s">
        <v>299</v>
      </c>
      <c r="H66" s="10" t="s">
        <v>71</v>
      </c>
      <c r="I66" s="22" t="s">
        <v>923</v>
      </c>
      <c r="J66" s="10" t="s">
        <v>300</v>
      </c>
      <c r="K66" s="10" t="s">
        <v>301</v>
      </c>
      <c r="L66" s="10">
        <v>1</v>
      </c>
      <c r="M66" s="10">
        <f t="shared" ref="M66" si="52">L66*5</f>
        <v>5</v>
      </c>
      <c r="N66" s="10">
        <v>50</v>
      </c>
      <c r="O66" s="19" t="s">
        <v>280</v>
      </c>
      <c r="P66" s="11">
        <v>1.0800000000000001E-2</v>
      </c>
      <c r="Q66" s="11">
        <f t="shared" ref="Q66" si="53">P66*N66</f>
        <v>0.54</v>
      </c>
      <c r="R66" s="10"/>
    </row>
    <row r="67" spans="1:18" x14ac:dyDescent="0.25">
      <c r="A67" s="1"/>
      <c r="B67" s="7">
        <v>5</v>
      </c>
      <c r="C67" s="12" t="s">
        <v>4</v>
      </c>
      <c r="D67" s="5" t="s">
        <v>302</v>
      </c>
      <c r="E67" s="5" t="s">
        <v>303</v>
      </c>
      <c r="F67" s="5" t="s">
        <v>43</v>
      </c>
      <c r="G67" s="5" t="s">
        <v>304</v>
      </c>
      <c r="H67" s="5" t="s">
        <v>71</v>
      </c>
      <c r="I67" s="22" t="s">
        <v>923</v>
      </c>
      <c r="J67" s="5" t="s">
        <v>305</v>
      </c>
      <c r="K67" s="5" t="s">
        <v>251</v>
      </c>
      <c r="L67" s="5">
        <v>3</v>
      </c>
      <c r="M67" s="5">
        <f>L67*5</f>
        <v>15</v>
      </c>
      <c r="N67" s="5">
        <v>100</v>
      </c>
      <c r="O67" s="19" t="s">
        <v>280</v>
      </c>
      <c r="P67" s="6">
        <v>1.1000000000000001E-3</v>
      </c>
      <c r="Q67" s="6">
        <f>P67*N67</f>
        <v>0.11</v>
      </c>
      <c r="R67" s="5"/>
    </row>
    <row r="68" spans="1:18" x14ac:dyDescent="0.25">
      <c r="A68" s="1"/>
      <c r="B68" s="7">
        <v>6</v>
      </c>
      <c r="C68" s="13" t="s">
        <v>4</v>
      </c>
      <c r="D68" s="10" t="s">
        <v>306</v>
      </c>
      <c r="E68" s="10" t="s">
        <v>118</v>
      </c>
      <c r="F68" s="10" t="s">
        <v>43</v>
      </c>
      <c r="G68" s="10" t="s">
        <v>119</v>
      </c>
      <c r="H68" s="10" t="s">
        <v>71</v>
      </c>
      <c r="I68" s="22" t="s">
        <v>923</v>
      </c>
      <c r="J68" s="10" t="s">
        <v>154</v>
      </c>
      <c r="K68" s="10" t="s">
        <v>155</v>
      </c>
      <c r="L68" s="10">
        <v>2</v>
      </c>
      <c r="M68" s="10">
        <f t="shared" ref="M68" si="54">L68*5</f>
        <v>10</v>
      </c>
      <c r="N68" s="10">
        <v>100</v>
      </c>
      <c r="O68" s="19" t="s">
        <v>280</v>
      </c>
      <c r="P68" s="11">
        <v>1E-3</v>
      </c>
      <c r="Q68" s="11">
        <f t="shared" ref="Q68" si="55">P68*N68</f>
        <v>0.1</v>
      </c>
      <c r="R68" s="10"/>
    </row>
    <row r="69" spans="1:18" x14ac:dyDescent="0.25">
      <c r="A69" s="1"/>
      <c r="B69" s="7">
        <v>7</v>
      </c>
      <c r="C69" s="12" t="s">
        <v>4</v>
      </c>
      <c r="D69" s="5" t="s">
        <v>307</v>
      </c>
      <c r="E69" s="5" t="s">
        <v>308</v>
      </c>
      <c r="F69" s="5" t="s">
        <v>43</v>
      </c>
      <c r="G69" s="5" t="s">
        <v>309</v>
      </c>
      <c r="H69" s="5" t="s">
        <v>310</v>
      </c>
      <c r="I69" s="22" t="s">
        <v>923</v>
      </c>
      <c r="J69" s="5" t="s">
        <v>311</v>
      </c>
      <c r="K69" s="5" t="s">
        <v>312</v>
      </c>
      <c r="L69" s="5">
        <v>2</v>
      </c>
      <c r="M69" s="5">
        <f>L69*5</f>
        <v>10</v>
      </c>
      <c r="N69" s="5">
        <v>20</v>
      </c>
      <c r="O69" s="19" t="s">
        <v>280</v>
      </c>
      <c r="P69" s="6">
        <v>2.8500000000000001E-2</v>
      </c>
      <c r="Q69" s="6">
        <f>P69*N69</f>
        <v>0.57000000000000006</v>
      </c>
      <c r="R69" s="5"/>
    </row>
    <row r="70" spans="1:18" ht="24" x14ac:dyDescent="0.25">
      <c r="A70" s="1"/>
      <c r="B70" s="7">
        <v>8</v>
      </c>
      <c r="C70" s="13" t="s">
        <v>5</v>
      </c>
      <c r="D70" s="10" t="s">
        <v>313</v>
      </c>
      <c r="E70" s="10" t="s">
        <v>314</v>
      </c>
      <c r="F70" s="10" t="s">
        <v>315</v>
      </c>
      <c r="G70" s="10" t="s">
        <v>316</v>
      </c>
      <c r="H70" s="10" t="s">
        <v>73</v>
      </c>
      <c r="I70" s="22" t="s">
        <v>923</v>
      </c>
      <c r="J70" s="10" t="s">
        <v>317</v>
      </c>
      <c r="K70" s="10" t="s">
        <v>114</v>
      </c>
      <c r="L70" s="10">
        <v>2</v>
      </c>
      <c r="M70" s="10">
        <f t="shared" ref="M70" si="56">L70*5</f>
        <v>10</v>
      </c>
      <c r="N70" s="10">
        <v>50</v>
      </c>
      <c r="O70" s="19" t="s">
        <v>280</v>
      </c>
      <c r="P70" s="11">
        <v>8.9999999999999993E-3</v>
      </c>
      <c r="Q70" s="11">
        <f t="shared" ref="Q70" si="57">P70*N70</f>
        <v>0.44999999999999996</v>
      </c>
      <c r="R70" s="10"/>
    </row>
    <row r="71" spans="1:18" ht="24" x14ac:dyDescent="0.25">
      <c r="A71" s="1"/>
      <c r="B71" s="7">
        <v>9</v>
      </c>
      <c r="C71" s="12" t="s">
        <v>318</v>
      </c>
      <c r="D71" s="5" t="s">
        <v>319</v>
      </c>
      <c r="E71" s="5" t="s">
        <v>320</v>
      </c>
      <c r="F71" s="5" t="s">
        <v>380</v>
      </c>
      <c r="G71" s="5" t="s">
        <v>321</v>
      </c>
      <c r="H71" s="5" t="s">
        <v>322</v>
      </c>
      <c r="I71" s="22" t="s">
        <v>923</v>
      </c>
      <c r="J71" s="5" t="s">
        <v>323</v>
      </c>
      <c r="K71" s="5" t="s">
        <v>324</v>
      </c>
      <c r="L71" s="5">
        <v>5</v>
      </c>
      <c r="M71" s="5">
        <f>L71*5</f>
        <v>25</v>
      </c>
      <c r="N71" s="10">
        <v>30</v>
      </c>
      <c r="O71" s="19" t="s">
        <v>280</v>
      </c>
      <c r="P71" s="11">
        <v>8.2500000000000004E-2</v>
      </c>
      <c r="Q71" s="6">
        <f>P71*N71</f>
        <v>2.4750000000000001</v>
      </c>
      <c r="R71" s="5"/>
    </row>
    <row r="72" spans="1:18" x14ac:dyDescent="0.25">
      <c r="A72" s="1"/>
      <c r="B72" s="7">
        <v>10</v>
      </c>
      <c r="C72" s="13" t="s">
        <v>10</v>
      </c>
      <c r="D72" s="10" t="s">
        <v>325</v>
      </c>
      <c r="E72" s="10" t="s">
        <v>326</v>
      </c>
      <c r="F72" s="10" t="s">
        <v>49</v>
      </c>
      <c r="G72" s="10" t="s">
        <v>327</v>
      </c>
      <c r="H72" s="10" t="s">
        <v>71</v>
      </c>
      <c r="I72" s="22" t="s">
        <v>923</v>
      </c>
      <c r="J72" s="10" t="s">
        <v>328</v>
      </c>
      <c r="K72" s="10" t="s">
        <v>329</v>
      </c>
      <c r="L72" s="10">
        <v>2</v>
      </c>
      <c r="M72" s="10">
        <f t="shared" ref="M72" si="58">L72*5</f>
        <v>10</v>
      </c>
      <c r="N72" s="5">
        <v>100</v>
      </c>
      <c r="O72" s="19" t="s">
        <v>280</v>
      </c>
      <c r="P72" s="6">
        <v>6.9999999999999999E-4</v>
      </c>
      <c r="Q72" s="11">
        <f t="shared" ref="Q72" si="59">P72*N72</f>
        <v>6.9999999999999993E-2</v>
      </c>
      <c r="R72" s="10"/>
    </row>
    <row r="73" spans="1:18" x14ac:dyDescent="0.25">
      <c r="A73" s="1"/>
      <c r="B73" s="7">
        <v>11</v>
      </c>
      <c r="C73" s="13" t="s">
        <v>10</v>
      </c>
      <c r="D73" s="5" t="s">
        <v>330</v>
      </c>
      <c r="E73" s="5" t="s">
        <v>31</v>
      </c>
      <c r="F73" s="5" t="s">
        <v>49</v>
      </c>
      <c r="G73" s="5" t="s">
        <v>61</v>
      </c>
      <c r="H73" s="5" t="s">
        <v>71</v>
      </c>
      <c r="I73" s="22" t="s">
        <v>923</v>
      </c>
      <c r="J73" s="5" t="s">
        <v>87</v>
      </c>
      <c r="K73" s="5" t="s">
        <v>99</v>
      </c>
      <c r="L73" s="5">
        <v>2</v>
      </c>
      <c r="M73" s="5">
        <f>L73*5</f>
        <v>10</v>
      </c>
      <c r="N73" s="10">
        <v>100</v>
      </c>
      <c r="O73" s="19" t="s">
        <v>280</v>
      </c>
      <c r="P73" s="11">
        <v>5.9999999999999995E-4</v>
      </c>
      <c r="Q73" s="6">
        <f>P73*N73</f>
        <v>0.06</v>
      </c>
      <c r="R73" s="5"/>
    </row>
    <row r="74" spans="1:18" x14ac:dyDescent="0.25">
      <c r="A74" s="1"/>
      <c r="B74" s="7">
        <v>12</v>
      </c>
      <c r="C74" s="13" t="s">
        <v>10</v>
      </c>
      <c r="D74" s="10" t="s">
        <v>331</v>
      </c>
      <c r="E74" s="10" t="s">
        <v>332</v>
      </c>
      <c r="F74" s="10" t="s">
        <v>49</v>
      </c>
      <c r="G74" s="10" t="s">
        <v>333</v>
      </c>
      <c r="H74" s="10" t="s">
        <v>71</v>
      </c>
      <c r="I74" s="22" t="s">
        <v>923</v>
      </c>
      <c r="J74" s="10" t="s">
        <v>334</v>
      </c>
      <c r="K74" s="10" t="s">
        <v>335</v>
      </c>
      <c r="L74" s="10">
        <v>1</v>
      </c>
      <c r="M74" s="10">
        <f t="shared" ref="M74" si="60">L74*5</f>
        <v>5</v>
      </c>
      <c r="N74" s="5">
        <v>50</v>
      </c>
      <c r="O74" s="19" t="s">
        <v>280</v>
      </c>
      <c r="P74" s="6">
        <v>2.01E-2</v>
      </c>
      <c r="Q74" s="11">
        <f t="shared" ref="Q74" si="61">P74*N74</f>
        <v>1.0049999999999999</v>
      </c>
      <c r="R74" s="10"/>
    </row>
    <row r="75" spans="1:18" x14ac:dyDescent="0.25">
      <c r="A75" s="1"/>
      <c r="B75" s="7">
        <v>13</v>
      </c>
      <c r="C75" s="13" t="s">
        <v>10</v>
      </c>
      <c r="D75" s="5" t="s">
        <v>336</v>
      </c>
      <c r="E75" s="5" t="s">
        <v>337</v>
      </c>
      <c r="F75" s="5" t="s">
        <v>49</v>
      </c>
      <c r="G75" s="5" t="s">
        <v>338</v>
      </c>
      <c r="H75" s="5" t="s">
        <v>71</v>
      </c>
      <c r="I75" s="22" t="s">
        <v>923</v>
      </c>
      <c r="J75" s="5" t="s">
        <v>339</v>
      </c>
      <c r="K75" s="5" t="s">
        <v>340</v>
      </c>
      <c r="L75" s="5">
        <v>1</v>
      </c>
      <c r="M75" s="5">
        <f>L75*5</f>
        <v>5</v>
      </c>
      <c r="N75" s="10">
        <v>50</v>
      </c>
      <c r="O75" s="19" t="s">
        <v>280</v>
      </c>
      <c r="P75" s="11">
        <v>1.9900000000000001E-2</v>
      </c>
      <c r="Q75" s="6">
        <f>P75*N75</f>
        <v>0.99500000000000011</v>
      </c>
      <c r="R75" s="5"/>
    </row>
    <row r="76" spans="1:18" x14ac:dyDescent="0.25">
      <c r="A76" s="1"/>
      <c r="B76" s="7">
        <v>14</v>
      </c>
      <c r="C76" s="13" t="s">
        <v>10</v>
      </c>
      <c r="D76" s="10" t="s">
        <v>341</v>
      </c>
      <c r="E76" s="10" t="s">
        <v>342</v>
      </c>
      <c r="F76" s="10" t="s">
        <v>49</v>
      </c>
      <c r="G76" s="10" t="s">
        <v>343</v>
      </c>
      <c r="H76" s="10" t="s">
        <v>71</v>
      </c>
      <c r="I76" s="22" t="s">
        <v>923</v>
      </c>
      <c r="J76" s="10" t="s">
        <v>344</v>
      </c>
      <c r="K76" s="10" t="s">
        <v>345</v>
      </c>
      <c r="L76" s="10">
        <v>2</v>
      </c>
      <c r="M76" s="10">
        <f t="shared" ref="M76" si="62">L76*5</f>
        <v>10</v>
      </c>
      <c r="N76" s="5">
        <v>100</v>
      </c>
      <c r="O76" s="19" t="s">
        <v>280</v>
      </c>
      <c r="P76" s="6">
        <v>5.9999999999999995E-4</v>
      </c>
      <c r="Q76" s="11">
        <f t="shared" ref="Q76" si="63">P76*N76</f>
        <v>0.06</v>
      </c>
      <c r="R76" s="10"/>
    </row>
    <row r="77" spans="1:18" x14ac:dyDescent="0.25">
      <c r="A77" s="1"/>
      <c r="B77" s="7">
        <v>15</v>
      </c>
      <c r="C77" s="12" t="s">
        <v>10</v>
      </c>
      <c r="D77" s="5" t="s">
        <v>346</v>
      </c>
      <c r="E77" s="5" t="s">
        <v>347</v>
      </c>
      <c r="F77" s="5" t="s">
        <v>49</v>
      </c>
      <c r="G77" s="5" t="s">
        <v>348</v>
      </c>
      <c r="H77" s="5" t="s">
        <v>71</v>
      </c>
      <c r="I77" s="22" t="s">
        <v>923</v>
      </c>
      <c r="J77" s="5" t="s">
        <v>349</v>
      </c>
      <c r="K77" s="5" t="s">
        <v>350</v>
      </c>
      <c r="L77" s="5">
        <v>1</v>
      </c>
      <c r="M77" s="5">
        <f>L77*5</f>
        <v>5</v>
      </c>
      <c r="N77" s="10">
        <v>100</v>
      </c>
      <c r="O77" s="19" t="s">
        <v>280</v>
      </c>
      <c r="P77" s="11">
        <v>6.9999999999999999E-4</v>
      </c>
      <c r="Q77" s="6">
        <f>P77*N77</f>
        <v>6.9999999999999993E-2</v>
      </c>
      <c r="R77" s="5"/>
    </row>
    <row r="78" spans="1:18" x14ac:dyDescent="0.25">
      <c r="A78" s="1"/>
      <c r="B78" s="7">
        <v>16</v>
      </c>
      <c r="C78" s="13" t="s">
        <v>10</v>
      </c>
      <c r="D78" s="10" t="s">
        <v>351</v>
      </c>
      <c r="E78" s="10" t="s">
        <v>129</v>
      </c>
      <c r="F78" s="10" t="s">
        <v>49</v>
      </c>
      <c r="G78" s="10" t="s">
        <v>130</v>
      </c>
      <c r="H78" s="10" t="s">
        <v>71</v>
      </c>
      <c r="I78" s="22" t="s">
        <v>923</v>
      </c>
      <c r="J78" s="10" t="s">
        <v>159</v>
      </c>
      <c r="K78" s="10" t="s">
        <v>160</v>
      </c>
      <c r="L78" s="10">
        <v>1</v>
      </c>
      <c r="M78" s="10">
        <f t="shared" ref="M78" si="64">L78*5</f>
        <v>5</v>
      </c>
      <c r="N78" s="5">
        <v>100</v>
      </c>
      <c r="O78" s="19" t="s">
        <v>280</v>
      </c>
      <c r="P78" s="6">
        <v>5.0000000000000001E-4</v>
      </c>
      <c r="Q78" s="11">
        <f t="shared" ref="Q78" si="65">P78*N78</f>
        <v>0.05</v>
      </c>
      <c r="R78" s="10"/>
    </row>
    <row r="79" spans="1:18" x14ac:dyDescent="0.25">
      <c r="A79" s="1"/>
      <c r="B79" s="7">
        <v>17</v>
      </c>
      <c r="C79" s="12" t="s">
        <v>10</v>
      </c>
      <c r="D79" s="5" t="s">
        <v>352</v>
      </c>
      <c r="E79" s="5" t="s">
        <v>132</v>
      </c>
      <c r="F79" s="5" t="s">
        <v>49</v>
      </c>
      <c r="G79" s="5" t="s">
        <v>133</v>
      </c>
      <c r="H79" s="5" t="s">
        <v>71</v>
      </c>
      <c r="I79" s="22" t="s">
        <v>923</v>
      </c>
      <c r="J79" s="5" t="s">
        <v>161</v>
      </c>
      <c r="K79" s="5" t="s">
        <v>162</v>
      </c>
      <c r="L79" s="5">
        <v>6</v>
      </c>
      <c r="M79" s="5">
        <f>L79*5</f>
        <v>30</v>
      </c>
      <c r="N79" s="10">
        <v>100</v>
      </c>
      <c r="O79" s="19" t="s">
        <v>280</v>
      </c>
      <c r="P79" s="11">
        <v>5.9999999999999995E-4</v>
      </c>
      <c r="Q79" s="6">
        <f>P79*N79</f>
        <v>0.06</v>
      </c>
      <c r="R79" s="5"/>
    </row>
    <row r="80" spans="1:18" x14ac:dyDescent="0.25">
      <c r="A80" s="1"/>
      <c r="B80" s="7">
        <v>18</v>
      </c>
      <c r="C80" s="13" t="s">
        <v>10</v>
      </c>
      <c r="D80" s="10" t="s">
        <v>353</v>
      </c>
      <c r="E80" s="10" t="s">
        <v>37</v>
      </c>
      <c r="F80" s="10" t="s">
        <v>49</v>
      </c>
      <c r="G80" s="10" t="s">
        <v>67</v>
      </c>
      <c r="H80" s="10" t="s">
        <v>71</v>
      </c>
      <c r="I80" s="22" t="s">
        <v>923</v>
      </c>
      <c r="J80" s="10" t="s">
        <v>93</v>
      </c>
      <c r="K80" s="10" t="s">
        <v>104</v>
      </c>
      <c r="L80" s="10">
        <v>1</v>
      </c>
      <c r="M80" s="10">
        <f t="shared" ref="M80" si="66">L80*5</f>
        <v>5</v>
      </c>
      <c r="N80" s="5">
        <v>100</v>
      </c>
      <c r="O80" s="19" t="s">
        <v>280</v>
      </c>
      <c r="P80" s="6">
        <v>6.9999999999999999E-4</v>
      </c>
      <c r="Q80" s="11">
        <f t="shared" ref="Q80" si="67">P80*N80</f>
        <v>6.9999999999999993E-2</v>
      </c>
      <c r="R80" s="10"/>
    </row>
    <row r="81" spans="1:18" x14ac:dyDescent="0.25">
      <c r="A81" s="1"/>
      <c r="B81" s="7">
        <v>19</v>
      </c>
      <c r="C81" s="12" t="s">
        <v>10</v>
      </c>
      <c r="D81" s="14" t="s">
        <v>354</v>
      </c>
      <c r="E81" s="14" t="s">
        <v>132</v>
      </c>
      <c r="F81" s="14" t="s">
        <v>49</v>
      </c>
      <c r="G81" s="14" t="s">
        <v>133</v>
      </c>
      <c r="H81" s="14" t="s">
        <v>71</v>
      </c>
      <c r="I81" s="22" t="s">
        <v>923</v>
      </c>
      <c r="J81" s="14" t="s">
        <v>161</v>
      </c>
      <c r="K81" s="14" t="s">
        <v>103</v>
      </c>
      <c r="L81" s="14">
        <v>1</v>
      </c>
      <c r="M81" s="14">
        <f>L81*5</f>
        <v>5</v>
      </c>
      <c r="N81" s="14" t="s">
        <v>114</v>
      </c>
      <c r="O81" s="14" t="s">
        <v>114</v>
      </c>
      <c r="P81" s="15" t="s">
        <v>114</v>
      </c>
      <c r="Q81" s="15" t="s">
        <v>114</v>
      </c>
      <c r="R81" s="16" t="s">
        <v>115</v>
      </c>
    </row>
    <row r="82" spans="1:18" x14ac:dyDescent="0.25">
      <c r="A82" s="1"/>
      <c r="B82" s="7">
        <v>20</v>
      </c>
      <c r="C82" s="13" t="s">
        <v>10</v>
      </c>
      <c r="D82" s="10" t="s">
        <v>355</v>
      </c>
      <c r="E82" s="10" t="s">
        <v>356</v>
      </c>
      <c r="F82" s="10" t="s">
        <v>215</v>
      </c>
      <c r="G82" s="10" t="s">
        <v>357</v>
      </c>
      <c r="H82" s="10" t="s">
        <v>71</v>
      </c>
      <c r="I82" s="22" t="s">
        <v>923</v>
      </c>
      <c r="J82" s="10" t="s">
        <v>358</v>
      </c>
      <c r="K82" s="10" t="s">
        <v>359</v>
      </c>
      <c r="L82" s="10">
        <v>1</v>
      </c>
      <c r="M82" s="10">
        <f t="shared" ref="M82" si="68">L82*5</f>
        <v>5</v>
      </c>
      <c r="N82" s="5">
        <v>20</v>
      </c>
      <c r="O82" s="19" t="s">
        <v>280</v>
      </c>
      <c r="P82" s="6">
        <v>2.58E-2</v>
      </c>
      <c r="Q82" s="11">
        <f t="shared" ref="Q82" si="69">P82*N82</f>
        <v>0.51600000000000001</v>
      </c>
      <c r="R82" s="10"/>
    </row>
    <row r="83" spans="1:18" x14ac:dyDescent="0.25">
      <c r="A83" s="1"/>
      <c r="B83" s="7">
        <v>21</v>
      </c>
      <c r="C83" s="12" t="s">
        <v>360</v>
      </c>
      <c r="D83" s="5" t="s">
        <v>361</v>
      </c>
      <c r="E83" s="5" t="s">
        <v>362</v>
      </c>
      <c r="F83" s="5" t="s">
        <v>380</v>
      </c>
      <c r="G83" s="5" t="s">
        <v>363</v>
      </c>
      <c r="H83" s="5" t="s">
        <v>364</v>
      </c>
      <c r="I83" s="22" t="s">
        <v>923</v>
      </c>
      <c r="J83" s="5" t="s">
        <v>365</v>
      </c>
      <c r="K83" s="5" t="s">
        <v>114</v>
      </c>
      <c r="L83" s="5">
        <v>2</v>
      </c>
      <c r="M83" s="5">
        <f>L83*5</f>
        <v>10</v>
      </c>
      <c r="N83" s="5">
        <v>15</v>
      </c>
      <c r="O83" s="19" t="s">
        <v>280</v>
      </c>
      <c r="P83" s="6">
        <v>0.1552</v>
      </c>
      <c r="Q83" s="6">
        <f>P83*N83</f>
        <v>2.3280000000000003</v>
      </c>
      <c r="R83" s="5"/>
    </row>
    <row r="84" spans="1:18" ht="24" x14ac:dyDescent="0.25">
      <c r="A84" s="1"/>
      <c r="B84" s="7">
        <v>22</v>
      </c>
      <c r="C84" s="13" t="s">
        <v>8</v>
      </c>
      <c r="D84" s="10" t="s">
        <v>366</v>
      </c>
      <c r="E84" s="10" t="s">
        <v>367</v>
      </c>
      <c r="F84" s="10" t="s">
        <v>368</v>
      </c>
      <c r="G84" s="10" t="s">
        <v>369</v>
      </c>
      <c r="H84" s="10" t="s">
        <v>370</v>
      </c>
      <c r="I84" s="22" t="s">
        <v>923</v>
      </c>
      <c r="J84" s="10" t="s">
        <v>371</v>
      </c>
      <c r="K84" s="10" t="s">
        <v>114</v>
      </c>
      <c r="L84" s="10">
        <v>1</v>
      </c>
      <c r="M84" s="10">
        <f t="shared" ref="M84" si="70">L84*5</f>
        <v>5</v>
      </c>
      <c r="N84" s="10">
        <v>6</v>
      </c>
      <c r="O84" s="19" t="s">
        <v>280</v>
      </c>
      <c r="P84" s="11">
        <v>2.8976000000000002</v>
      </c>
      <c r="Q84" s="11">
        <f t="shared" ref="Q84" si="71">P84*N84</f>
        <v>17.3856</v>
      </c>
      <c r="R84" s="10"/>
    </row>
    <row r="85" spans="1:18" ht="24.75" thickBot="1" x14ac:dyDescent="0.3">
      <c r="A85" s="1"/>
      <c r="B85" s="7">
        <v>23</v>
      </c>
      <c r="C85" s="12" t="s">
        <v>149</v>
      </c>
      <c r="D85" s="5" t="s">
        <v>372</v>
      </c>
      <c r="E85" s="5" t="s">
        <v>373</v>
      </c>
      <c r="F85" s="5" t="s">
        <v>374</v>
      </c>
      <c r="G85" s="5" t="s">
        <v>375</v>
      </c>
      <c r="H85" s="5" t="s">
        <v>376</v>
      </c>
      <c r="I85" s="22" t="s">
        <v>923</v>
      </c>
      <c r="J85" s="5" t="s">
        <v>377</v>
      </c>
      <c r="K85" s="5" t="s">
        <v>378</v>
      </c>
      <c r="L85" s="5">
        <v>1</v>
      </c>
      <c r="M85" s="5">
        <f>L85*5</f>
        <v>5</v>
      </c>
      <c r="N85" s="10">
        <v>10</v>
      </c>
      <c r="O85" s="19" t="s">
        <v>280</v>
      </c>
      <c r="P85" s="11">
        <v>0.2306</v>
      </c>
      <c r="Q85" s="6">
        <f>P85*N85</f>
        <v>2.306</v>
      </c>
      <c r="R85" s="5"/>
    </row>
    <row r="86" spans="1:18" ht="19.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3" t="s">
        <v>1</v>
      </c>
      <c r="O86" s="24"/>
      <c r="P86" s="24"/>
      <c r="Q86" s="8">
        <f>SUM(Q63:Q85)</f>
        <v>33.036600000000007</v>
      </c>
      <c r="R86" s="1"/>
    </row>
    <row r="87" spans="1:18" ht="19.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3" t="s">
        <v>2</v>
      </c>
      <c r="O87" s="24"/>
      <c r="P87" s="24"/>
      <c r="Q87" s="9">
        <f>Q86/5</f>
        <v>6.6073200000000014</v>
      </c>
      <c r="R87" s="1"/>
    </row>
    <row r="88" spans="1:1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8"/>
      <c r="O88" s="18"/>
      <c r="P88" s="18"/>
      <c r="Q88" s="18"/>
      <c r="R88" s="1"/>
    </row>
    <row r="89" spans="1:18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26.25" x14ac:dyDescent="0.25">
      <c r="A90" s="1"/>
      <c r="B90" s="2"/>
      <c r="C90" s="2"/>
      <c r="D90" s="17"/>
      <c r="E90" s="17"/>
      <c r="F90" s="17"/>
      <c r="G90" s="25" t="s">
        <v>513</v>
      </c>
      <c r="H90" s="25"/>
      <c r="I90" s="25"/>
      <c r="J90" s="17"/>
      <c r="K90" s="18"/>
      <c r="L90" s="18"/>
      <c r="M90" s="18"/>
      <c r="N90" s="18"/>
      <c r="O90" s="18"/>
      <c r="P90" s="18"/>
      <c r="Q90" s="18"/>
      <c r="R90" s="18"/>
    </row>
    <row r="91" spans="1:18" ht="15.75" thickBot="1" x14ac:dyDescent="0.3">
      <c r="A91" s="1"/>
      <c r="B91" s="2"/>
      <c r="C91" s="2"/>
      <c r="D91" s="17"/>
      <c r="E91" s="17"/>
      <c r="F91" s="17"/>
      <c r="G91" s="17"/>
      <c r="H91" s="17"/>
      <c r="I91" s="17"/>
      <c r="J91" s="17"/>
      <c r="K91" s="18"/>
      <c r="L91" s="18"/>
      <c r="M91" s="18"/>
      <c r="N91" s="18"/>
      <c r="O91" s="18"/>
      <c r="P91" s="18"/>
      <c r="Q91" s="18"/>
      <c r="R91" s="18"/>
    </row>
    <row r="92" spans="1:18" ht="15.75" thickBot="1" x14ac:dyDescent="0.3">
      <c r="A92" s="1"/>
      <c r="B92" s="4" t="s">
        <v>0</v>
      </c>
      <c r="C92" s="4" t="s">
        <v>3</v>
      </c>
      <c r="D92" s="4" t="s">
        <v>11</v>
      </c>
      <c r="E92" s="4" t="s">
        <v>20</v>
      </c>
      <c r="F92" s="4" t="s">
        <v>40</v>
      </c>
      <c r="G92" s="4" t="s">
        <v>52</v>
      </c>
      <c r="H92" s="4" t="s">
        <v>70</v>
      </c>
      <c r="I92" s="4" t="s">
        <v>116</v>
      </c>
      <c r="J92" s="4" t="s">
        <v>78</v>
      </c>
      <c r="K92" s="4" t="s">
        <v>108</v>
      </c>
      <c r="L92" s="4" t="s">
        <v>106</v>
      </c>
      <c r="M92" s="4" t="s">
        <v>107</v>
      </c>
      <c r="N92" s="4" t="s">
        <v>109</v>
      </c>
      <c r="O92" s="4" t="s">
        <v>110</v>
      </c>
      <c r="P92" s="4" t="s">
        <v>111</v>
      </c>
      <c r="Q92" s="4" t="s">
        <v>112</v>
      </c>
      <c r="R92" s="4" t="s">
        <v>113</v>
      </c>
    </row>
    <row r="93" spans="1:18" x14ac:dyDescent="0.25">
      <c r="A93" s="1"/>
      <c r="B93" s="7">
        <v>1</v>
      </c>
      <c r="C93" s="13" t="s">
        <v>4</v>
      </c>
      <c r="D93" s="5" t="s">
        <v>381</v>
      </c>
      <c r="E93" s="5" t="s">
        <v>382</v>
      </c>
      <c r="F93" s="5" t="s">
        <v>43</v>
      </c>
      <c r="G93" s="5" t="s">
        <v>383</v>
      </c>
      <c r="H93" s="5" t="s">
        <v>71</v>
      </c>
      <c r="I93" s="22" t="s">
        <v>923</v>
      </c>
      <c r="J93" s="5" t="s">
        <v>384</v>
      </c>
      <c r="K93" s="5" t="s">
        <v>301</v>
      </c>
      <c r="L93" s="5">
        <v>4</v>
      </c>
      <c r="M93" s="5">
        <f>L93*5</f>
        <v>20</v>
      </c>
      <c r="N93" s="10">
        <v>50</v>
      </c>
      <c r="O93" s="19" t="s">
        <v>280</v>
      </c>
      <c r="P93" s="11">
        <v>1.7500000000000002E-2</v>
      </c>
      <c r="Q93" s="6">
        <f>P93*N93</f>
        <v>0.87500000000000011</v>
      </c>
      <c r="R93" s="5"/>
    </row>
    <row r="94" spans="1:18" ht="72" x14ac:dyDescent="0.25">
      <c r="A94" s="1"/>
      <c r="B94" s="7">
        <v>2</v>
      </c>
      <c r="C94" s="13" t="s">
        <v>4</v>
      </c>
      <c r="D94" s="10" t="s">
        <v>385</v>
      </c>
      <c r="E94" s="10" t="s">
        <v>386</v>
      </c>
      <c r="F94" s="10" t="s">
        <v>387</v>
      </c>
      <c r="G94" s="10" t="s">
        <v>388</v>
      </c>
      <c r="H94" s="10" t="s">
        <v>71</v>
      </c>
      <c r="I94" s="22" t="s">
        <v>923</v>
      </c>
      <c r="J94" s="10" t="s">
        <v>389</v>
      </c>
      <c r="K94" s="10" t="s">
        <v>96</v>
      </c>
      <c r="L94" s="10">
        <v>38</v>
      </c>
      <c r="M94" s="10">
        <f t="shared" ref="M94" si="72">L94*5</f>
        <v>190</v>
      </c>
      <c r="N94" s="5">
        <v>200</v>
      </c>
      <c r="O94" s="19" t="s">
        <v>280</v>
      </c>
      <c r="P94" s="6">
        <v>1.1000000000000001E-3</v>
      </c>
      <c r="Q94" s="11">
        <f t="shared" ref="Q94" si="73">P94*N94</f>
        <v>0.22</v>
      </c>
      <c r="R94" s="10"/>
    </row>
    <row r="95" spans="1:18" x14ac:dyDescent="0.25">
      <c r="A95" s="1"/>
      <c r="B95" s="7">
        <v>3</v>
      </c>
      <c r="C95" s="12" t="s">
        <v>4</v>
      </c>
      <c r="D95" s="5" t="s">
        <v>390</v>
      </c>
      <c r="E95" s="5" t="s">
        <v>308</v>
      </c>
      <c r="F95" s="5" t="s">
        <v>43</v>
      </c>
      <c r="G95" s="5" t="s">
        <v>309</v>
      </c>
      <c r="H95" s="5" t="s">
        <v>310</v>
      </c>
      <c r="I95" s="22" t="s">
        <v>923</v>
      </c>
      <c r="J95" s="5" t="s">
        <v>311</v>
      </c>
      <c r="K95" s="5" t="s">
        <v>312</v>
      </c>
      <c r="L95" s="5">
        <v>1</v>
      </c>
      <c r="M95" s="5">
        <f>L95*5</f>
        <v>5</v>
      </c>
      <c r="N95" s="5">
        <v>20</v>
      </c>
      <c r="O95" s="19" t="s">
        <v>280</v>
      </c>
      <c r="P95" s="6">
        <v>2.8500000000000001E-2</v>
      </c>
      <c r="Q95" s="6">
        <f>P95*N95</f>
        <v>0.57000000000000006</v>
      </c>
      <c r="R95" s="5"/>
    </row>
    <row r="96" spans="1:18" ht="24" x14ac:dyDescent="0.25">
      <c r="A96" s="1"/>
      <c r="B96" s="7">
        <v>4</v>
      </c>
      <c r="C96" s="13" t="s">
        <v>4</v>
      </c>
      <c r="D96" s="10" t="s">
        <v>391</v>
      </c>
      <c r="E96" s="10" t="s">
        <v>284</v>
      </c>
      <c r="F96" s="10" t="s">
        <v>42</v>
      </c>
      <c r="G96" s="10" t="s">
        <v>285</v>
      </c>
      <c r="H96" s="10" t="s">
        <v>71</v>
      </c>
      <c r="I96" s="22" t="s">
        <v>923</v>
      </c>
      <c r="J96" s="10" t="s">
        <v>286</v>
      </c>
      <c r="K96" s="10" t="s">
        <v>287</v>
      </c>
      <c r="L96" s="10">
        <v>9</v>
      </c>
      <c r="M96" s="10">
        <f t="shared" ref="M96" si="74">L96*5</f>
        <v>45</v>
      </c>
      <c r="N96" s="5">
        <v>60</v>
      </c>
      <c r="O96" s="20" t="s">
        <v>280</v>
      </c>
      <c r="P96" s="6">
        <v>2.7099999999999999E-2</v>
      </c>
      <c r="Q96" s="11">
        <f t="shared" ref="Q96" si="75">P96*N96</f>
        <v>1.6259999999999999</v>
      </c>
      <c r="R96" s="10"/>
    </row>
    <row r="97" spans="1:18" ht="36" x14ac:dyDescent="0.25">
      <c r="A97" s="1"/>
      <c r="B97" s="7">
        <v>5</v>
      </c>
      <c r="C97" s="12" t="s">
        <v>4</v>
      </c>
      <c r="D97" s="5" t="s">
        <v>392</v>
      </c>
      <c r="E97" s="5" t="s">
        <v>303</v>
      </c>
      <c r="F97" s="5" t="s">
        <v>43</v>
      </c>
      <c r="G97" s="5" t="s">
        <v>304</v>
      </c>
      <c r="H97" s="5" t="s">
        <v>71</v>
      </c>
      <c r="I97" s="22" t="s">
        <v>923</v>
      </c>
      <c r="J97" s="5" t="s">
        <v>305</v>
      </c>
      <c r="K97" s="5" t="s">
        <v>251</v>
      </c>
      <c r="L97" s="5">
        <v>18</v>
      </c>
      <c r="M97" s="5">
        <f>L97*5</f>
        <v>90</v>
      </c>
      <c r="N97" s="5">
        <v>100</v>
      </c>
      <c r="O97" s="19" t="s">
        <v>280</v>
      </c>
      <c r="P97" s="6">
        <v>1.1000000000000001E-3</v>
      </c>
      <c r="Q97" s="6">
        <f>P97*N97</f>
        <v>0.11</v>
      </c>
      <c r="R97" s="5"/>
    </row>
    <row r="98" spans="1:18" x14ac:dyDescent="0.25">
      <c r="A98" s="1"/>
      <c r="B98" s="7">
        <v>6</v>
      </c>
      <c r="C98" s="13" t="s">
        <v>4</v>
      </c>
      <c r="D98" s="14" t="s">
        <v>393</v>
      </c>
      <c r="E98" s="14" t="s">
        <v>394</v>
      </c>
      <c r="F98" s="14" t="s">
        <v>43</v>
      </c>
      <c r="G98" s="14" t="s">
        <v>395</v>
      </c>
      <c r="H98" s="14" t="s">
        <v>71</v>
      </c>
      <c r="I98" s="22" t="s">
        <v>923</v>
      </c>
      <c r="J98" s="14" t="s">
        <v>396</v>
      </c>
      <c r="K98" s="14" t="s">
        <v>103</v>
      </c>
      <c r="L98" s="14">
        <v>1</v>
      </c>
      <c r="M98" s="14">
        <f t="shared" ref="M98" si="76">L98*5</f>
        <v>5</v>
      </c>
      <c r="N98" s="14" t="s">
        <v>114</v>
      </c>
      <c r="O98" s="14" t="s">
        <v>114</v>
      </c>
      <c r="P98" s="15" t="s">
        <v>114</v>
      </c>
      <c r="Q98" s="15" t="s">
        <v>114</v>
      </c>
      <c r="R98" s="16" t="s">
        <v>115</v>
      </c>
    </row>
    <row r="99" spans="1:18" ht="24" x14ac:dyDescent="0.25">
      <c r="A99" s="1"/>
      <c r="B99" s="7">
        <v>7</v>
      </c>
      <c r="C99" s="12" t="s">
        <v>4</v>
      </c>
      <c r="D99" s="5" t="s">
        <v>397</v>
      </c>
      <c r="E99" s="5" t="s">
        <v>398</v>
      </c>
      <c r="F99" s="5" t="s">
        <v>43</v>
      </c>
      <c r="G99" s="5" t="s">
        <v>399</v>
      </c>
      <c r="H99" s="5" t="s">
        <v>400</v>
      </c>
      <c r="I99" s="22" t="s">
        <v>923</v>
      </c>
      <c r="J99" s="5" t="s">
        <v>401</v>
      </c>
      <c r="K99" s="5" t="s">
        <v>256</v>
      </c>
      <c r="L99" s="5">
        <v>8</v>
      </c>
      <c r="M99" s="5">
        <f>L99*5</f>
        <v>40</v>
      </c>
      <c r="N99" s="5">
        <v>100</v>
      </c>
      <c r="O99" s="19" t="s">
        <v>280</v>
      </c>
      <c r="P99" s="6">
        <v>4.7999999999999996E-3</v>
      </c>
      <c r="Q99" s="6">
        <f>P99*N99</f>
        <v>0.48</v>
      </c>
      <c r="R99" s="5"/>
    </row>
    <row r="100" spans="1:18" ht="24" x14ac:dyDescent="0.25">
      <c r="A100" s="1"/>
      <c r="B100" s="7">
        <v>8</v>
      </c>
      <c r="C100" s="13" t="s">
        <v>4</v>
      </c>
      <c r="D100" s="10" t="s">
        <v>402</v>
      </c>
      <c r="E100" s="10" t="s">
        <v>294</v>
      </c>
      <c r="F100" s="10" t="s">
        <v>43</v>
      </c>
      <c r="G100" s="10" t="s">
        <v>295</v>
      </c>
      <c r="H100" s="10" t="s">
        <v>71</v>
      </c>
      <c r="I100" s="22" t="s">
        <v>923</v>
      </c>
      <c r="J100" s="10" t="s">
        <v>296</v>
      </c>
      <c r="K100" s="10" t="s">
        <v>98</v>
      </c>
      <c r="L100" s="10">
        <v>11</v>
      </c>
      <c r="M100" s="10">
        <f t="shared" ref="M100" si="77">L100*5</f>
        <v>55</v>
      </c>
      <c r="N100" s="5">
        <v>100</v>
      </c>
      <c r="O100" s="19" t="s">
        <v>280</v>
      </c>
      <c r="P100" s="6">
        <v>2.5999999999999999E-3</v>
      </c>
      <c r="Q100" s="11">
        <f t="shared" ref="Q100" si="78">P100*N100</f>
        <v>0.26</v>
      </c>
      <c r="R100" s="10"/>
    </row>
    <row r="101" spans="1:18" x14ac:dyDescent="0.25">
      <c r="A101" s="1"/>
      <c r="B101" s="7">
        <v>9</v>
      </c>
      <c r="C101" s="12" t="s">
        <v>4</v>
      </c>
      <c r="D101" s="14" t="s">
        <v>403</v>
      </c>
      <c r="E101" s="14" t="s">
        <v>398</v>
      </c>
      <c r="F101" s="14" t="s">
        <v>43</v>
      </c>
      <c r="G101" s="14" t="s">
        <v>399</v>
      </c>
      <c r="H101" s="14" t="s">
        <v>400</v>
      </c>
      <c r="I101" s="22" t="s">
        <v>923</v>
      </c>
      <c r="J101" s="14" t="s">
        <v>401</v>
      </c>
      <c r="K101" s="14" t="s">
        <v>103</v>
      </c>
      <c r="L101" s="14">
        <v>1</v>
      </c>
      <c r="M101" s="14">
        <f>L101*5</f>
        <v>5</v>
      </c>
      <c r="N101" s="14" t="s">
        <v>114</v>
      </c>
      <c r="O101" s="14" t="s">
        <v>114</v>
      </c>
      <c r="P101" s="15" t="s">
        <v>114</v>
      </c>
      <c r="Q101" s="15" t="s">
        <v>114</v>
      </c>
      <c r="R101" s="16" t="s">
        <v>115</v>
      </c>
    </row>
    <row r="102" spans="1:18" x14ac:dyDescent="0.25">
      <c r="A102" s="1"/>
      <c r="B102" s="7">
        <v>10</v>
      </c>
      <c r="C102" s="13" t="s">
        <v>4</v>
      </c>
      <c r="D102" s="10" t="s">
        <v>404</v>
      </c>
      <c r="E102" s="10" t="s">
        <v>405</v>
      </c>
      <c r="F102" s="10" t="s">
        <v>43</v>
      </c>
      <c r="G102" s="10" t="s">
        <v>406</v>
      </c>
      <c r="H102" s="10" t="s">
        <v>310</v>
      </c>
      <c r="I102" s="22" t="s">
        <v>923</v>
      </c>
      <c r="J102" s="10" t="s">
        <v>407</v>
      </c>
      <c r="K102" s="10" t="s">
        <v>256</v>
      </c>
      <c r="L102" s="10">
        <v>1</v>
      </c>
      <c r="M102" s="10">
        <f t="shared" ref="M102" si="79">L102*5</f>
        <v>5</v>
      </c>
      <c r="N102" s="5">
        <v>50</v>
      </c>
      <c r="O102" s="19" t="s">
        <v>280</v>
      </c>
      <c r="P102" s="6">
        <v>1.7100000000000001E-2</v>
      </c>
      <c r="Q102" s="11">
        <f t="shared" ref="Q102" si="80">P102*N102</f>
        <v>0.85499999999999998</v>
      </c>
      <c r="R102" s="10"/>
    </row>
    <row r="103" spans="1:18" x14ac:dyDescent="0.25">
      <c r="A103" s="1"/>
      <c r="B103" s="7">
        <v>11</v>
      </c>
      <c r="C103" s="12" t="s">
        <v>4</v>
      </c>
      <c r="D103" s="5" t="s">
        <v>408</v>
      </c>
      <c r="E103" s="5" t="s">
        <v>409</v>
      </c>
      <c r="F103" s="5" t="s">
        <v>43</v>
      </c>
      <c r="G103" s="5" t="s">
        <v>410</v>
      </c>
      <c r="H103" s="5" t="s">
        <v>71</v>
      </c>
      <c r="I103" s="22" t="s">
        <v>923</v>
      </c>
      <c r="J103" s="5" t="s">
        <v>411</v>
      </c>
      <c r="K103" s="5" t="s">
        <v>96</v>
      </c>
      <c r="L103" s="5">
        <v>1</v>
      </c>
      <c r="M103" s="5">
        <f>L103*5</f>
        <v>5</v>
      </c>
      <c r="N103" s="10">
        <v>100</v>
      </c>
      <c r="O103" s="19" t="s">
        <v>280</v>
      </c>
      <c r="P103" s="11">
        <v>1.6000000000000001E-3</v>
      </c>
      <c r="Q103" s="6">
        <f>P103*N103</f>
        <v>0.16</v>
      </c>
      <c r="R103" s="5"/>
    </row>
    <row r="104" spans="1:18" x14ac:dyDescent="0.25">
      <c r="A104" s="1"/>
      <c r="B104" s="7">
        <v>12</v>
      </c>
      <c r="C104" s="13" t="s">
        <v>4</v>
      </c>
      <c r="D104" s="10" t="s">
        <v>412</v>
      </c>
      <c r="E104" s="10" t="s">
        <v>413</v>
      </c>
      <c r="F104" s="10" t="s">
        <v>43</v>
      </c>
      <c r="G104" s="10" t="s">
        <v>414</v>
      </c>
      <c r="H104" s="10" t="s">
        <v>71</v>
      </c>
      <c r="I104" s="22" t="s">
        <v>923</v>
      </c>
      <c r="J104" s="10" t="s">
        <v>415</v>
      </c>
      <c r="K104" s="10" t="s">
        <v>416</v>
      </c>
      <c r="L104" s="10">
        <v>2</v>
      </c>
      <c r="M104" s="10">
        <f t="shared" ref="M104" si="81">L104*5</f>
        <v>10</v>
      </c>
      <c r="N104" s="5">
        <v>100</v>
      </c>
      <c r="O104" s="19" t="s">
        <v>280</v>
      </c>
      <c r="P104" s="6">
        <v>1.1000000000000001E-3</v>
      </c>
      <c r="Q104" s="11">
        <f t="shared" ref="Q104" si="82">P104*N104</f>
        <v>0.11</v>
      </c>
      <c r="R104" s="10"/>
    </row>
    <row r="105" spans="1:18" x14ac:dyDescent="0.25">
      <c r="A105" s="1"/>
      <c r="B105" s="7">
        <v>13</v>
      </c>
      <c r="C105" s="13" t="s">
        <v>4</v>
      </c>
      <c r="D105" s="5" t="s">
        <v>417</v>
      </c>
      <c r="E105" s="5" t="s">
        <v>25</v>
      </c>
      <c r="F105" s="5" t="s">
        <v>43</v>
      </c>
      <c r="G105" s="5" t="s">
        <v>57</v>
      </c>
      <c r="H105" s="5" t="s">
        <v>71</v>
      </c>
      <c r="I105" s="22" t="s">
        <v>923</v>
      </c>
      <c r="J105" s="5" t="s">
        <v>83</v>
      </c>
      <c r="K105" s="5" t="s">
        <v>96</v>
      </c>
      <c r="L105" s="5">
        <v>1</v>
      </c>
      <c r="M105" s="5">
        <f>L105*5</f>
        <v>5</v>
      </c>
      <c r="N105" s="5">
        <v>100</v>
      </c>
      <c r="O105" s="19" t="s">
        <v>280</v>
      </c>
      <c r="P105" s="6">
        <v>1E-3</v>
      </c>
      <c r="Q105" s="6">
        <f>P105*N105</f>
        <v>0.1</v>
      </c>
      <c r="R105" s="5"/>
    </row>
    <row r="106" spans="1:18" x14ac:dyDescent="0.25">
      <c r="A106" s="1"/>
      <c r="B106" s="7">
        <v>14</v>
      </c>
      <c r="C106" s="13" t="s">
        <v>4</v>
      </c>
      <c r="D106" s="10" t="s">
        <v>418</v>
      </c>
      <c r="E106" s="10" t="s">
        <v>419</v>
      </c>
      <c r="F106" s="10" t="s">
        <v>420</v>
      </c>
      <c r="G106" s="10" t="s">
        <v>421</v>
      </c>
      <c r="H106" s="10" t="s">
        <v>71</v>
      </c>
      <c r="I106" s="22" t="s">
        <v>923</v>
      </c>
      <c r="J106" s="10" t="s">
        <v>422</v>
      </c>
      <c r="K106" s="10" t="s">
        <v>423</v>
      </c>
      <c r="L106" s="10">
        <v>2</v>
      </c>
      <c r="M106" s="10">
        <f t="shared" ref="M106" si="83">L106*5</f>
        <v>10</v>
      </c>
      <c r="N106" s="5">
        <v>100</v>
      </c>
      <c r="O106" s="19" t="s">
        <v>280</v>
      </c>
      <c r="P106" s="6">
        <v>1E-3</v>
      </c>
      <c r="Q106" s="11">
        <f t="shared" ref="Q106" si="84">P106*N106</f>
        <v>0.1</v>
      </c>
      <c r="R106" s="10"/>
    </row>
    <row r="107" spans="1:18" ht="24" x14ac:dyDescent="0.25">
      <c r="A107" s="1"/>
      <c r="B107" s="7">
        <v>15</v>
      </c>
      <c r="C107" s="12" t="s">
        <v>5</v>
      </c>
      <c r="D107" s="5" t="s">
        <v>424</v>
      </c>
      <c r="E107" s="5" t="s">
        <v>314</v>
      </c>
      <c r="F107" s="5" t="s">
        <v>315</v>
      </c>
      <c r="G107" s="5" t="s">
        <v>316</v>
      </c>
      <c r="H107" s="5" t="s">
        <v>73</v>
      </c>
      <c r="I107" s="22" t="s">
        <v>923</v>
      </c>
      <c r="J107" s="5" t="s">
        <v>317</v>
      </c>
      <c r="K107" s="5" t="s">
        <v>114</v>
      </c>
      <c r="L107" s="5">
        <v>1</v>
      </c>
      <c r="M107" s="5">
        <f>L107*5</f>
        <v>5</v>
      </c>
      <c r="N107" s="10">
        <v>50</v>
      </c>
      <c r="O107" s="19" t="s">
        <v>280</v>
      </c>
      <c r="P107" s="11">
        <v>8.9999999999999993E-3</v>
      </c>
      <c r="Q107" s="6">
        <f>P107*N107</f>
        <v>0.44999999999999996</v>
      </c>
      <c r="R107" s="5"/>
    </row>
    <row r="108" spans="1:18" x14ac:dyDescent="0.25">
      <c r="A108" s="1"/>
      <c r="B108" s="7">
        <v>16</v>
      </c>
      <c r="C108" s="13" t="s">
        <v>6</v>
      </c>
      <c r="D108" s="10" t="s">
        <v>425</v>
      </c>
      <c r="E108" s="10" t="s">
        <v>28</v>
      </c>
      <c r="F108" s="10" t="s">
        <v>46</v>
      </c>
      <c r="G108" s="10">
        <v>742792641</v>
      </c>
      <c r="H108" s="10" t="s">
        <v>74</v>
      </c>
      <c r="I108" s="22" t="s">
        <v>923</v>
      </c>
      <c r="J108" s="10" t="s">
        <v>114</v>
      </c>
      <c r="K108" s="10" t="s">
        <v>114</v>
      </c>
      <c r="L108" s="10">
        <v>1</v>
      </c>
      <c r="M108" s="10">
        <f t="shared" ref="M108" si="85">L108*5</f>
        <v>5</v>
      </c>
      <c r="N108" s="10">
        <v>10</v>
      </c>
      <c r="O108" s="19" t="s">
        <v>924</v>
      </c>
      <c r="P108" s="11">
        <v>8.4699999999999998E-2</v>
      </c>
      <c r="Q108" s="11">
        <f t="shared" ref="Q108" si="86">P108*N108</f>
        <v>0.84699999999999998</v>
      </c>
      <c r="R108" s="10"/>
    </row>
    <row r="109" spans="1:18" x14ac:dyDescent="0.25">
      <c r="A109" s="1"/>
      <c r="B109" s="7">
        <v>17</v>
      </c>
      <c r="C109" s="12" t="s">
        <v>426</v>
      </c>
      <c r="D109" s="5" t="s">
        <v>427</v>
      </c>
      <c r="E109" s="5" t="s">
        <v>428</v>
      </c>
      <c r="F109" s="5" t="s">
        <v>429</v>
      </c>
      <c r="G109" s="5" t="s">
        <v>430</v>
      </c>
      <c r="H109" s="5" t="s">
        <v>431</v>
      </c>
      <c r="I109" s="22" t="s">
        <v>923</v>
      </c>
      <c r="J109" s="10" t="s">
        <v>515</v>
      </c>
      <c r="K109" s="5" t="s">
        <v>114</v>
      </c>
      <c r="L109" s="5">
        <v>1</v>
      </c>
      <c r="M109" s="5">
        <f>L109*5</f>
        <v>5</v>
      </c>
      <c r="N109" s="10">
        <v>20</v>
      </c>
      <c r="O109" s="19" t="s">
        <v>280</v>
      </c>
      <c r="P109" s="11">
        <v>3.4099999999999998E-2</v>
      </c>
      <c r="Q109" s="6">
        <f>P109*N109</f>
        <v>0.68199999999999994</v>
      </c>
      <c r="R109" s="5"/>
    </row>
    <row r="110" spans="1:18" x14ac:dyDescent="0.25">
      <c r="A110" s="1"/>
      <c r="B110" s="7">
        <v>18</v>
      </c>
      <c r="C110" s="13" t="s">
        <v>10</v>
      </c>
      <c r="D110" s="10" t="s">
        <v>432</v>
      </c>
      <c r="E110" s="10" t="s">
        <v>37</v>
      </c>
      <c r="F110" s="10" t="s">
        <v>49</v>
      </c>
      <c r="G110" s="10" t="s">
        <v>67</v>
      </c>
      <c r="H110" s="10" t="s">
        <v>71</v>
      </c>
      <c r="I110" s="22" t="s">
        <v>923</v>
      </c>
      <c r="J110" s="10" t="s">
        <v>93</v>
      </c>
      <c r="K110" s="10" t="s">
        <v>104</v>
      </c>
      <c r="L110" s="10">
        <v>3</v>
      </c>
      <c r="M110" s="10">
        <f t="shared" ref="M110" si="87">L110*5</f>
        <v>15</v>
      </c>
      <c r="N110" s="5">
        <v>100</v>
      </c>
      <c r="O110" s="19" t="s">
        <v>280</v>
      </c>
      <c r="P110" s="6">
        <v>6.9999999999999999E-4</v>
      </c>
      <c r="Q110" s="11">
        <f t="shared" ref="Q110" si="88">P110*N110</f>
        <v>6.9999999999999993E-2</v>
      </c>
      <c r="R110" s="10"/>
    </row>
    <row r="111" spans="1:18" x14ac:dyDescent="0.25">
      <c r="A111" s="1"/>
      <c r="B111" s="7">
        <v>19</v>
      </c>
      <c r="C111" s="13" t="s">
        <v>10</v>
      </c>
      <c r="D111" s="5" t="s">
        <v>433</v>
      </c>
      <c r="E111" s="5" t="s">
        <v>31</v>
      </c>
      <c r="F111" s="5" t="s">
        <v>49</v>
      </c>
      <c r="G111" s="5" t="s">
        <v>61</v>
      </c>
      <c r="H111" s="5" t="s">
        <v>71</v>
      </c>
      <c r="I111" s="22" t="s">
        <v>923</v>
      </c>
      <c r="J111" s="5" t="s">
        <v>87</v>
      </c>
      <c r="K111" s="5" t="s">
        <v>99</v>
      </c>
      <c r="L111" s="5">
        <v>4</v>
      </c>
      <c r="M111" s="5">
        <f>L111*5</f>
        <v>20</v>
      </c>
      <c r="N111" s="10">
        <v>100</v>
      </c>
      <c r="O111" s="19" t="s">
        <v>280</v>
      </c>
      <c r="P111" s="11">
        <v>5.9999999999999995E-4</v>
      </c>
      <c r="Q111" s="6">
        <f>P111*N111</f>
        <v>0.06</v>
      </c>
      <c r="R111" s="5"/>
    </row>
    <row r="112" spans="1:18" x14ac:dyDescent="0.25">
      <c r="A112" s="1"/>
      <c r="B112" s="7">
        <v>20</v>
      </c>
      <c r="C112" s="13" t="s">
        <v>10</v>
      </c>
      <c r="D112" s="10" t="s">
        <v>434</v>
      </c>
      <c r="E112" s="10" t="s">
        <v>435</v>
      </c>
      <c r="F112" s="10" t="s">
        <v>215</v>
      </c>
      <c r="G112" s="10" t="s">
        <v>436</v>
      </c>
      <c r="H112" s="10" t="s">
        <v>71</v>
      </c>
      <c r="I112" s="22" t="s">
        <v>923</v>
      </c>
      <c r="J112" s="10" t="s">
        <v>437</v>
      </c>
      <c r="K112" s="10" t="s">
        <v>438</v>
      </c>
      <c r="L112" s="10">
        <v>2</v>
      </c>
      <c r="M112" s="10">
        <f t="shared" ref="M112" si="89">L112*5</f>
        <v>10</v>
      </c>
      <c r="N112" s="10">
        <v>100</v>
      </c>
      <c r="O112" s="19" t="s">
        <v>280</v>
      </c>
      <c r="P112" s="11">
        <v>1.1999999999999999E-3</v>
      </c>
      <c r="Q112" s="11">
        <f t="shared" ref="Q112" si="90">P112*N112</f>
        <v>0.12</v>
      </c>
      <c r="R112" s="10"/>
    </row>
    <row r="113" spans="1:18" x14ac:dyDescent="0.25">
      <c r="A113" s="1"/>
      <c r="B113" s="7">
        <v>21</v>
      </c>
      <c r="C113" s="12" t="s">
        <v>10</v>
      </c>
      <c r="D113" s="5" t="s">
        <v>439</v>
      </c>
      <c r="E113" s="5" t="s">
        <v>129</v>
      </c>
      <c r="F113" s="5" t="s">
        <v>49</v>
      </c>
      <c r="G113" s="5" t="s">
        <v>130</v>
      </c>
      <c r="H113" s="5" t="s">
        <v>71</v>
      </c>
      <c r="I113" s="22" t="s">
        <v>923</v>
      </c>
      <c r="J113" s="5" t="s">
        <v>159</v>
      </c>
      <c r="K113" s="5" t="s">
        <v>160</v>
      </c>
      <c r="L113" s="5">
        <v>5</v>
      </c>
      <c r="M113" s="5">
        <f>L113*5</f>
        <v>25</v>
      </c>
      <c r="N113" s="5">
        <v>100</v>
      </c>
      <c r="O113" s="19" t="s">
        <v>280</v>
      </c>
      <c r="P113" s="6">
        <v>5.0000000000000001E-4</v>
      </c>
      <c r="Q113" s="6">
        <f>P113*N113</f>
        <v>0.05</v>
      </c>
      <c r="R113" s="5"/>
    </row>
    <row r="114" spans="1:18" x14ac:dyDescent="0.25">
      <c r="A114" s="1"/>
      <c r="B114" s="7">
        <v>22</v>
      </c>
      <c r="C114" s="13" t="s">
        <v>9</v>
      </c>
      <c r="D114" s="14" t="s">
        <v>440</v>
      </c>
      <c r="E114" s="14" t="s">
        <v>31</v>
      </c>
      <c r="F114" s="14" t="s">
        <v>49</v>
      </c>
      <c r="G114" s="14" t="s">
        <v>61</v>
      </c>
      <c r="H114" s="14" t="s">
        <v>71</v>
      </c>
      <c r="I114" s="22" t="s">
        <v>923</v>
      </c>
      <c r="J114" s="14" t="s">
        <v>87</v>
      </c>
      <c r="K114" s="14" t="s">
        <v>103</v>
      </c>
      <c r="L114" s="14">
        <v>2</v>
      </c>
      <c r="M114" s="14">
        <f t="shared" ref="M114" si="91">L114*5</f>
        <v>10</v>
      </c>
      <c r="N114" s="14" t="s">
        <v>114</v>
      </c>
      <c r="O114" s="14" t="s">
        <v>114</v>
      </c>
      <c r="P114" s="15" t="s">
        <v>114</v>
      </c>
      <c r="Q114" s="15" t="s">
        <v>114</v>
      </c>
      <c r="R114" s="16" t="s">
        <v>115</v>
      </c>
    </row>
    <row r="115" spans="1:18" x14ac:dyDescent="0.25">
      <c r="A115" s="1"/>
      <c r="B115" s="7">
        <v>23</v>
      </c>
      <c r="C115" s="13" t="s">
        <v>9</v>
      </c>
      <c r="D115" s="5" t="s">
        <v>441</v>
      </c>
      <c r="E115" s="5" t="s">
        <v>442</v>
      </c>
      <c r="F115" s="5" t="s">
        <v>49</v>
      </c>
      <c r="G115" s="5" t="s">
        <v>443</v>
      </c>
      <c r="H115" s="5" t="s">
        <v>71</v>
      </c>
      <c r="I115" s="22" t="s">
        <v>923</v>
      </c>
      <c r="J115" s="10" t="s">
        <v>516</v>
      </c>
      <c r="K115" s="5" t="s">
        <v>444</v>
      </c>
      <c r="L115" s="5">
        <v>4</v>
      </c>
      <c r="M115" s="5">
        <f>L115*5</f>
        <v>20</v>
      </c>
      <c r="N115" s="10">
        <v>100</v>
      </c>
      <c r="O115" s="19" t="s">
        <v>280</v>
      </c>
      <c r="P115" s="11">
        <v>5.9999999999999995E-4</v>
      </c>
      <c r="Q115" s="6">
        <f>P115*N115</f>
        <v>0.06</v>
      </c>
      <c r="R115" s="5"/>
    </row>
    <row r="116" spans="1:18" x14ac:dyDescent="0.25">
      <c r="A116" s="1"/>
      <c r="B116" s="7">
        <v>24</v>
      </c>
      <c r="C116" s="13" t="s">
        <v>10</v>
      </c>
      <c r="D116" s="10" t="s">
        <v>445</v>
      </c>
      <c r="E116" s="10" t="s">
        <v>446</v>
      </c>
      <c r="F116" s="10" t="s">
        <v>447</v>
      </c>
      <c r="G116" s="10" t="s">
        <v>448</v>
      </c>
      <c r="H116" s="10" t="s">
        <v>71</v>
      </c>
      <c r="I116" s="22" t="s">
        <v>923</v>
      </c>
      <c r="J116" s="10" t="s">
        <v>449</v>
      </c>
      <c r="K116" s="10" t="s">
        <v>444</v>
      </c>
      <c r="L116" s="10">
        <v>1</v>
      </c>
      <c r="M116" s="10">
        <f t="shared" ref="M116" si="92">L116*5</f>
        <v>5</v>
      </c>
      <c r="N116" s="5">
        <v>100</v>
      </c>
      <c r="O116" s="19" t="s">
        <v>280</v>
      </c>
      <c r="P116" s="6">
        <v>8.9999999999999998E-4</v>
      </c>
      <c r="Q116" s="11">
        <f t="shared" ref="Q116" si="93">P116*N116</f>
        <v>0.09</v>
      </c>
      <c r="R116" s="10"/>
    </row>
    <row r="117" spans="1:18" x14ac:dyDescent="0.25">
      <c r="A117" s="1"/>
      <c r="B117" s="7">
        <v>25</v>
      </c>
      <c r="C117" s="12" t="s">
        <v>10</v>
      </c>
      <c r="D117" s="5" t="s">
        <v>450</v>
      </c>
      <c r="E117" s="5" t="s">
        <v>326</v>
      </c>
      <c r="F117" s="5" t="s">
        <v>49</v>
      </c>
      <c r="G117" s="5" t="s">
        <v>327</v>
      </c>
      <c r="H117" s="5" t="s">
        <v>71</v>
      </c>
      <c r="I117" s="22" t="s">
        <v>923</v>
      </c>
      <c r="J117" s="5" t="s">
        <v>328</v>
      </c>
      <c r="K117" s="5" t="s">
        <v>329</v>
      </c>
      <c r="L117" s="5">
        <v>1</v>
      </c>
      <c r="M117" s="5">
        <f>L117*5</f>
        <v>5</v>
      </c>
      <c r="N117" s="5">
        <v>100</v>
      </c>
      <c r="O117" s="19" t="s">
        <v>280</v>
      </c>
      <c r="P117" s="6">
        <v>6.9999999999999999E-4</v>
      </c>
      <c r="Q117" s="6">
        <f>P117*N117</f>
        <v>6.9999999999999993E-2</v>
      </c>
      <c r="R117" s="5"/>
    </row>
    <row r="118" spans="1:18" x14ac:dyDescent="0.25">
      <c r="A118" s="1"/>
      <c r="B118" s="7">
        <v>26</v>
      </c>
      <c r="C118" s="13" t="s">
        <v>10</v>
      </c>
      <c r="D118" s="14" t="s">
        <v>451</v>
      </c>
      <c r="E118" s="14" t="s">
        <v>129</v>
      </c>
      <c r="F118" s="14" t="s">
        <v>49</v>
      </c>
      <c r="G118" s="14" t="s">
        <v>130</v>
      </c>
      <c r="H118" s="14" t="s">
        <v>71</v>
      </c>
      <c r="I118" s="22" t="s">
        <v>923</v>
      </c>
      <c r="J118" s="14" t="s">
        <v>159</v>
      </c>
      <c r="K118" s="14" t="s">
        <v>103</v>
      </c>
      <c r="L118" s="14">
        <v>3</v>
      </c>
      <c r="M118" s="14">
        <f t="shared" ref="M118" si="94">L118*5</f>
        <v>15</v>
      </c>
      <c r="N118" s="14" t="s">
        <v>114</v>
      </c>
      <c r="O118" s="14" t="s">
        <v>114</v>
      </c>
      <c r="P118" s="15" t="s">
        <v>114</v>
      </c>
      <c r="Q118" s="15" t="s">
        <v>114</v>
      </c>
      <c r="R118" s="16" t="s">
        <v>115</v>
      </c>
    </row>
    <row r="119" spans="1:18" x14ac:dyDescent="0.25">
      <c r="A119" s="1"/>
      <c r="B119" s="7">
        <v>27</v>
      </c>
      <c r="C119" s="12" t="s">
        <v>10</v>
      </c>
      <c r="D119" s="5" t="s">
        <v>452</v>
      </c>
      <c r="E119" s="5" t="s">
        <v>453</v>
      </c>
      <c r="F119" s="5" t="s">
        <v>215</v>
      </c>
      <c r="G119" s="14" t="s">
        <v>454</v>
      </c>
      <c r="H119" s="5" t="s">
        <v>71</v>
      </c>
      <c r="I119" s="22" t="s">
        <v>923</v>
      </c>
      <c r="J119" s="5" t="s">
        <v>517</v>
      </c>
      <c r="K119" s="5" t="s">
        <v>99</v>
      </c>
      <c r="L119" s="5">
        <v>1</v>
      </c>
      <c r="M119" s="5">
        <f>L119*5</f>
        <v>5</v>
      </c>
      <c r="N119" s="5">
        <v>100</v>
      </c>
      <c r="O119" s="20" t="s">
        <v>280</v>
      </c>
      <c r="P119" s="6">
        <v>1.1000000000000001E-3</v>
      </c>
      <c r="Q119" s="6">
        <f>P119*N119</f>
        <v>0.11</v>
      </c>
      <c r="R119" s="5"/>
    </row>
    <row r="120" spans="1:18" x14ac:dyDescent="0.25">
      <c r="A120" s="1"/>
      <c r="B120" s="7">
        <v>28</v>
      </c>
      <c r="C120" s="13" t="s">
        <v>10</v>
      </c>
      <c r="D120" s="14" t="s">
        <v>456</v>
      </c>
      <c r="E120" s="14" t="s">
        <v>453</v>
      </c>
      <c r="F120" s="14" t="s">
        <v>215</v>
      </c>
      <c r="G120" s="14" t="s">
        <v>454</v>
      </c>
      <c r="H120" s="14" t="s">
        <v>71</v>
      </c>
      <c r="I120" s="22" t="s">
        <v>923</v>
      </c>
      <c r="J120" s="14" t="s">
        <v>455</v>
      </c>
      <c r="K120" s="14" t="s">
        <v>103</v>
      </c>
      <c r="L120" s="14">
        <v>1</v>
      </c>
      <c r="M120" s="14">
        <f t="shared" ref="M120" si="95">L120*5</f>
        <v>5</v>
      </c>
      <c r="N120" s="14" t="s">
        <v>114</v>
      </c>
      <c r="O120" s="14" t="s">
        <v>114</v>
      </c>
      <c r="P120" s="15" t="s">
        <v>114</v>
      </c>
      <c r="Q120" s="15" t="s">
        <v>114</v>
      </c>
      <c r="R120" s="16" t="s">
        <v>115</v>
      </c>
    </row>
    <row r="121" spans="1:18" x14ac:dyDescent="0.25">
      <c r="A121" s="1"/>
      <c r="B121" s="7">
        <v>29</v>
      </c>
      <c r="C121" s="12" t="s">
        <v>10</v>
      </c>
      <c r="D121" s="5" t="s">
        <v>457</v>
      </c>
      <c r="E121" s="5" t="s">
        <v>132</v>
      </c>
      <c r="F121" s="5" t="s">
        <v>49</v>
      </c>
      <c r="G121" s="5" t="s">
        <v>133</v>
      </c>
      <c r="H121" s="5" t="s">
        <v>71</v>
      </c>
      <c r="I121" s="22" t="s">
        <v>923</v>
      </c>
      <c r="J121" s="5" t="s">
        <v>161</v>
      </c>
      <c r="K121" s="5" t="s">
        <v>162</v>
      </c>
      <c r="L121" s="5">
        <v>2</v>
      </c>
      <c r="M121" s="5">
        <f>L121*5</f>
        <v>10</v>
      </c>
      <c r="N121" s="10">
        <v>100</v>
      </c>
      <c r="O121" s="19" t="s">
        <v>280</v>
      </c>
      <c r="P121" s="11">
        <v>5.9999999999999995E-4</v>
      </c>
      <c r="Q121" s="6">
        <f>P121*N121</f>
        <v>0.06</v>
      </c>
      <c r="R121" s="5"/>
    </row>
    <row r="122" spans="1:18" x14ac:dyDescent="0.25">
      <c r="A122" s="1"/>
      <c r="B122" s="7">
        <v>30</v>
      </c>
      <c r="C122" s="13" t="s">
        <v>10</v>
      </c>
      <c r="D122" s="10" t="s">
        <v>458</v>
      </c>
      <c r="E122" s="10" t="s">
        <v>459</v>
      </c>
      <c r="F122" s="10" t="s">
        <v>49</v>
      </c>
      <c r="G122" s="10" t="s">
        <v>460</v>
      </c>
      <c r="H122" s="10" t="s">
        <v>71</v>
      </c>
      <c r="I122" s="22" t="s">
        <v>923</v>
      </c>
      <c r="J122" s="10" t="s">
        <v>461</v>
      </c>
      <c r="K122" s="10" t="s">
        <v>462</v>
      </c>
      <c r="L122" s="10">
        <v>1</v>
      </c>
      <c r="M122" s="10">
        <f t="shared" ref="M122" si="96">L122*5</f>
        <v>5</v>
      </c>
      <c r="N122" s="10">
        <v>50</v>
      </c>
      <c r="O122" s="19" t="s">
        <v>280</v>
      </c>
      <c r="P122" s="11">
        <v>1.03E-2</v>
      </c>
      <c r="Q122" s="11">
        <f t="shared" ref="Q122" si="97">P122*N122</f>
        <v>0.51500000000000001</v>
      </c>
      <c r="R122" s="10"/>
    </row>
    <row r="123" spans="1:18" x14ac:dyDescent="0.25">
      <c r="A123" s="1"/>
      <c r="B123" s="7">
        <v>31</v>
      </c>
      <c r="C123" s="12" t="s">
        <v>10</v>
      </c>
      <c r="D123" s="5" t="s">
        <v>463</v>
      </c>
      <c r="E123" s="5" t="s">
        <v>464</v>
      </c>
      <c r="F123" s="5" t="s">
        <v>49</v>
      </c>
      <c r="G123" s="5" t="s">
        <v>465</v>
      </c>
      <c r="H123" s="5" t="s">
        <v>71</v>
      </c>
      <c r="I123" s="22" t="s">
        <v>923</v>
      </c>
      <c r="J123" s="5" t="s">
        <v>466</v>
      </c>
      <c r="K123" s="5" t="s">
        <v>467</v>
      </c>
      <c r="L123" s="5">
        <v>1</v>
      </c>
      <c r="M123" s="5">
        <f>L123*5</f>
        <v>5</v>
      </c>
      <c r="N123" s="10">
        <v>100</v>
      </c>
      <c r="O123" s="19" t="s">
        <v>280</v>
      </c>
      <c r="P123" s="11">
        <v>2.8E-3</v>
      </c>
      <c r="Q123" s="6">
        <f>P123*N123</f>
        <v>0.27999999999999997</v>
      </c>
      <c r="R123" s="5"/>
    </row>
    <row r="124" spans="1:18" x14ac:dyDescent="0.25">
      <c r="A124" s="1"/>
      <c r="B124" s="7">
        <v>32</v>
      </c>
      <c r="C124" s="12" t="s">
        <v>10</v>
      </c>
      <c r="D124" s="10" t="s">
        <v>468</v>
      </c>
      <c r="E124" s="10" t="s">
        <v>469</v>
      </c>
      <c r="F124" s="10" t="s">
        <v>49</v>
      </c>
      <c r="G124" s="10" t="s">
        <v>470</v>
      </c>
      <c r="H124" s="10" t="s">
        <v>71</v>
      </c>
      <c r="I124" s="22" t="s">
        <v>923</v>
      </c>
      <c r="J124" s="10" t="s">
        <v>471</v>
      </c>
      <c r="K124" s="10" t="s">
        <v>472</v>
      </c>
      <c r="L124" s="10">
        <v>1</v>
      </c>
      <c r="M124" s="10">
        <f t="shared" ref="M124" si="98">L124*5</f>
        <v>5</v>
      </c>
      <c r="N124" s="10">
        <v>100</v>
      </c>
      <c r="O124" s="19" t="s">
        <v>280</v>
      </c>
      <c r="P124" s="11">
        <v>5.9999999999999995E-4</v>
      </c>
      <c r="Q124" s="11">
        <f t="shared" ref="Q124" si="99">P124*N124</f>
        <v>0.06</v>
      </c>
      <c r="R124" s="10"/>
    </row>
    <row r="125" spans="1:18" ht="36" x14ac:dyDescent="0.25">
      <c r="A125" s="1"/>
      <c r="B125" s="7">
        <v>33</v>
      </c>
      <c r="C125" s="12" t="s">
        <v>473</v>
      </c>
      <c r="D125" s="5" t="s">
        <v>474</v>
      </c>
      <c r="E125" s="5" t="s">
        <v>475</v>
      </c>
      <c r="F125" s="5" t="s">
        <v>380</v>
      </c>
      <c r="G125" s="5" t="s">
        <v>476</v>
      </c>
      <c r="H125" s="5" t="s">
        <v>477</v>
      </c>
      <c r="I125" s="22" t="s">
        <v>923</v>
      </c>
      <c r="J125" s="5" t="s">
        <v>478</v>
      </c>
      <c r="K125" s="5" t="s">
        <v>114</v>
      </c>
      <c r="L125" s="5">
        <v>1</v>
      </c>
      <c r="M125" s="5">
        <f>L125*5</f>
        <v>5</v>
      </c>
      <c r="N125" s="10">
        <v>50</v>
      </c>
      <c r="O125" s="19" t="s">
        <v>280</v>
      </c>
      <c r="P125" s="11">
        <v>1.3299999999999999E-2</v>
      </c>
      <c r="Q125" s="6">
        <f>P125*N125</f>
        <v>0.66499999999999992</v>
      </c>
      <c r="R125" s="5"/>
    </row>
    <row r="126" spans="1:18" x14ac:dyDescent="0.25">
      <c r="A126" s="1"/>
      <c r="B126" s="7">
        <v>34</v>
      </c>
      <c r="C126" s="13" t="s">
        <v>360</v>
      </c>
      <c r="D126" s="10" t="s">
        <v>479</v>
      </c>
      <c r="E126" s="10" t="s">
        <v>362</v>
      </c>
      <c r="F126" s="5" t="s">
        <v>380</v>
      </c>
      <c r="G126" s="10" t="s">
        <v>363</v>
      </c>
      <c r="H126" s="10" t="s">
        <v>364</v>
      </c>
      <c r="I126" s="22" t="s">
        <v>923</v>
      </c>
      <c r="J126" s="10" t="s">
        <v>365</v>
      </c>
      <c r="K126" s="5" t="s">
        <v>114</v>
      </c>
      <c r="L126" s="10">
        <v>2</v>
      </c>
      <c r="M126" s="10">
        <f t="shared" ref="M126" si="100">L126*5</f>
        <v>10</v>
      </c>
      <c r="N126" s="5">
        <v>15</v>
      </c>
      <c r="O126" s="19" t="s">
        <v>280</v>
      </c>
      <c r="P126" s="6">
        <v>0.1552</v>
      </c>
      <c r="Q126" s="11">
        <f t="shared" ref="Q126" si="101">P126*N126</f>
        <v>2.3280000000000003</v>
      </c>
      <c r="R126" s="10"/>
    </row>
    <row r="127" spans="1:18" x14ac:dyDescent="0.25">
      <c r="A127" s="1"/>
      <c r="B127" s="7">
        <v>35</v>
      </c>
      <c r="C127" s="12" t="s">
        <v>8</v>
      </c>
      <c r="D127" s="5" t="s">
        <v>480</v>
      </c>
      <c r="E127" s="5" t="s">
        <v>481</v>
      </c>
      <c r="F127" s="5" t="s">
        <v>482</v>
      </c>
      <c r="G127" s="5" t="s">
        <v>483</v>
      </c>
      <c r="H127" s="5" t="s">
        <v>484</v>
      </c>
      <c r="I127" s="22" t="s">
        <v>923</v>
      </c>
      <c r="J127" s="5" t="s">
        <v>485</v>
      </c>
      <c r="K127" s="5" t="s">
        <v>114</v>
      </c>
      <c r="L127" s="5">
        <v>1</v>
      </c>
      <c r="M127" s="5">
        <f>L127*5</f>
        <v>5</v>
      </c>
      <c r="N127" s="5">
        <v>6</v>
      </c>
      <c r="O127" s="19" t="s">
        <v>280</v>
      </c>
      <c r="P127" s="6">
        <v>5.4526000000000003</v>
      </c>
      <c r="Q127" s="6">
        <f>P127*N127</f>
        <v>32.715600000000002</v>
      </c>
      <c r="R127" s="5"/>
    </row>
    <row r="128" spans="1:18" x14ac:dyDescent="0.25">
      <c r="A128" s="1"/>
      <c r="B128" s="7">
        <v>36</v>
      </c>
      <c r="C128" s="13" t="s">
        <v>8</v>
      </c>
      <c r="D128" s="10" t="s">
        <v>486</v>
      </c>
      <c r="E128" s="10" t="s">
        <v>487</v>
      </c>
      <c r="F128" s="10" t="s">
        <v>488</v>
      </c>
      <c r="G128" s="10" t="s">
        <v>489</v>
      </c>
      <c r="H128" s="10" t="s">
        <v>484</v>
      </c>
      <c r="I128" s="22" t="s">
        <v>923</v>
      </c>
      <c r="J128" s="10" t="s">
        <v>490</v>
      </c>
      <c r="K128" s="5" t="s">
        <v>114</v>
      </c>
      <c r="L128" s="10">
        <v>2</v>
      </c>
      <c r="M128" s="10">
        <f t="shared" ref="M128" si="102">L128*5</f>
        <v>10</v>
      </c>
      <c r="N128" s="10">
        <v>11</v>
      </c>
      <c r="O128" s="19" t="s">
        <v>280</v>
      </c>
      <c r="P128" s="11">
        <v>2.4032</v>
      </c>
      <c r="Q128" s="11">
        <f t="shared" ref="Q128" si="103">P128*N128</f>
        <v>26.435200000000002</v>
      </c>
      <c r="R128" s="10"/>
    </row>
    <row r="129" spans="1:18" ht="24" x14ac:dyDescent="0.25">
      <c r="A129" s="1"/>
      <c r="B129" s="7">
        <v>37</v>
      </c>
      <c r="C129" s="12" t="s">
        <v>491</v>
      </c>
      <c r="D129" s="5" t="s">
        <v>492</v>
      </c>
      <c r="E129" s="5" t="s">
        <v>493</v>
      </c>
      <c r="F129" s="5" t="s">
        <v>494</v>
      </c>
      <c r="G129" s="5" t="s">
        <v>495</v>
      </c>
      <c r="H129" s="5" t="s">
        <v>370</v>
      </c>
      <c r="I129" s="22" t="s">
        <v>923</v>
      </c>
      <c r="J129" s="5" t="s">
        <v>496</v>
      </c>
      <c r="K129" s="5" t="s">
        <v>114</v>
      </c>
      <c r="L129" s="5">
        <v>1</v>
      </c>
      <c r="M129" s="5">
        <f>L129*5</f>
        <v>5</v>
      </c>
      <c r="N129" s="5">
        <v>6</v>
      </c>
      <c r="O129" s="19" t="s">
        <v>280</v>
      </c>
      <c r="P129" s="6">
        <v>9.8475000000000001</v>
      </c>
      <c r="Q129" s="6">
        <f>P129*N129</f>
        <v>59.085000000000001</v>
      </c>
      <c r="R129" s="5"/>
    </row>
    <row r="130" spans="1:18" x14ac:dyDescent="0.25">
      <c r="A130" s="1"/>
      <c r="B130" s="7">
        <v>38</v>
      </c>
      <c r="C130" s="13" t="s">
        <v>8</v>
      </c>
      <c r="D130" s="10" t="s">
        <v>497</v>
      </c>
      <c r="E130" s="10" t="s">
        <v>498</v>
      </c>
      <c r="F130" s="10" t="s">
        <v>499</v>
      </c>
      <c r="G130" s="10" t="s">
        <v>500</v>
      </c>
      <c r="H130" s="10" t="s">
        <v>501</v>
      </c>
      <c r="I130" s="22" t="s">
        <v>923</v>
      </c>
      <c r="J130" s="10" t="s">
        <v>502</v>
      </c>
      <c r="K130" s="5" t="s">
        <v>114</v>
      </c>
      <c r="L130" s="10">
        <v>1</v>
      </c>
      <c r="M130" s="10">
        <f t="shared" ref="M130" si="104">L130*5</f>
        <v>5</v>
      </c>
      <c r="N130" s="5">
        <v>6</v>
      </c>
      <c r="O130" s="19" t="s">
        <v>280</v>
      </c>
      <c r="P130" s="6">
        <v>1.0048999999999999</v>
      </c>
      <c r="Q130" s="11">
        <f t="shared" ref="Q130" si="105">P130*N130</f>
        <v>6.029399999999999</v>
      </c>
      <c r="R130" s="10"/>
    </row>
    <row r="131" spans="1:18" x14ac:dyDescent="0.25">
      <c r="A131" s="1"/>
      <c r="B131" s="7">
        <v>39</v>
      </c>
      <c r="C131" s="12" t="s">
        <v>8</v>
      </c>
      <c r="D131" s="5" t="s">
        <v>503</v>
      </c>
      <c r="E131" s="5" t="s">
        <v>504</v>
      </c>
      <c r="F131" s="5" t="s">
        <v>514</v>
      </c>
      <c r="G131" s="5" t="s">
        <v>505</v>
      </c>
      <c r="H131" s="5" t="s">
        <v>76</v>
      </c>
      <c r="I131" s="22" t="s">
        <v>923</v>
      </c>
      <c r="J131" s="5" t="s">
        <v>518</v>
      </c>
      <c r="K131" s="5" t="s">
        <v>114</v>
      </c>
      <c r="L131" s="5">
        <v>1</v>
      </c>
      <c r="M131" s="5">
        <f>L131*5</f>
        <v>5</v>
      </c>
      <c r="N131" s="5">
        <v>10</v>
      </c>
      <c r="O131" s="19" t="s">
        <v>280</v>
      </c>
      <c r="P131" s="6">
        <v>8.0799999999999997E-2</v>
      </c>
      <c r="Q131" s="6">
        <f>P131*N131</f>
        <v>0.80799999999999994</v>
      </c>
      <c r="R131" s="5"/>
    </row>
    <row r="132" spans="1:18" ht="36" x14ac:dyDescent="0.25">
      <c r="A132" s="1"/>
      <c r="B132" s="7">
        <v>40</v>
      </c>
      <c r="C132" s="13" t="s">
        <v>149</v>
      </c>
      <c r="D132" s="10" t="s">
        <v>506</v>
      </c>
      <c r="E132" s="10" t="s">
        <v>507</v>
      </c>
      <c r="F132" s="5" t="s">
        <v>380</v>
      </c>
      <c r="G132" s="10" t="s">
        <v>508</v>
      </c>
      <c r="H132" s="10" t="s">
        <v>509</v>
      </c>
      <c r="I132" s="22" t="s">
        <v>923</v>
      </c>
      <c r="J132" s="10" t="s">
        <v>510</v>
      </c>
      <c r="K132" s="10" t="s">
        <v>511</v>
      </c>
      <c r="L132" s="10">
        <v>1</v>
      </c>
      <c r="M132" s="10">
        <f t="shared" ref="M132" si="106">L132*5</f>
        <v>5</v>
      </c>
      <c r="N132" s="10">
        <v>10</v>
      </c>
      <c r="O132" s="19" t="s">
        <v>280</v>
      </c>
      <c r="P132" s="11">
        <v>5.8200000000000002E-2</v>
      </c>
      <c r="Q132" s="11">
        <f t="shared" ref="Q132" si="107">P132*N132</f>
        <v>0.58200000000000007</v>
      </c>
      <c r="R132" s="10"/>
    </row>
    <row r="133" spans="1:18" ht="15.75" thickBot="1" x14ac:dyDescent="0.3">
      <c r="A133" s="1"/>
      <c r="B133" s="7">
        <v>41</v>
      </c>
      <c r="C133" s="12" t="s">
        <v>149</v>
      </c>
      <c r="D133" s="5" t="s">
        <v>512</v>
      </c>
      <c r="E133" s="5" t="s">
        <v>151</v>
      </c>
      <c r="F133" s="5" t="s">
        <v>380</v>
      </c>
      <c r="G133" s="5" t="s">
        <v>152</v>
      </c>
      <c r="H133" s="5" t="s">
        <v>153</v>
      </c>
      <c r="I133" s="22" t="s">
        <v>923</v>
      </c>
      <c r="J133" s="5" t="s">
        <v>170</v>
      </c>
      <c r="K133" s="5" t="s">
        <v>171</v>
      </c>
      <c r="L133" s="5">
        <v>1</v>
      </c>
      <c r="M133" s="5">
        <f>L133*5</f>
        <v>5</v>
      </c>
      <c r="N133" s="5">
        <v>10</v>
      </c>
      <c r="O133" s="19" t="s">
        <v>280</v>
      </c>
      <c r="P133" s="6">
        <v>0.25950000000000001</v>
      </c>
      <c r="Q133" s="6">
        <f>P133*N133</f>
        <v>2.5950000000000002</v>
      </c>
      <c r="R133" s="5"/>
    </row>
    <row r="134" spans="1:18" ht="19.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3" t="s">
        <v>1</v>
      </c>
      <c r="O134" s="24"/>
      <c r="P134" s="24"/>
      <c r="Q134" s="8">
        <f>SUM(Q93:Q133)</f>
        <v>140.23320000000001</v>
      </c>
      <c r="R134" s="1"/>
    </row>
    <row r="135" spans="1:18" ht="19.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3" t="s">
        <v>2</v>
      </c>
      <c r="O135" s="24"/>
      <c r="P135" s="24"/>
      <c r="Q135" s="9">
        <f>Q134/5</f>
        <v>28.046640000000004</v>
      </c>
      <c r="R135" s="1"/>
    </row>
    <row r="136" spans="1:18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</row>
    <row r="137" spans="1:18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</row>
    <row r="138" spans="1:18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26.25" x14ac:dyDescent="0.25">
      <c r="A139" s="1"/>
      <c r="B139" s="2"/>
      <c r="C139" s="2"/>
      <c r="D139" s="17"/>
      <c r="E139" s="17"/>
      <c r="F139" s="17"/>
      <c r="G139" s="25" t="s">
        <v>906</v>
      </c>
      <c r="H139" s="25"/>
      <c r="I139" s="25"/>
      <c r="J139" s="17"/>
      <c r="K139" s="18"/>
      <c r="L139" s="18"/>
      <c r="M139" s="18"/>
      <c r="N139" s="18"/>
      <c r="O139" s="18"/>
      <c r="P139" s="18"/>
      <c r="Q139" s="18"/>
      <c r="R139" s="18"/>
    </row>
    <row r="140" spans="1:18" x14ac:dyDescent="0.25">
      <c r="A140" s="1"/>
      <c r="B140" s="2"/>
      <c r="C140" s="2"/>
      <c r="D140" s="17"/>
      <c r="E140" s="17"/>
      <c r="F140" s="17"/>
      <c r="G140" s="17"/>
      <c r="H140" s="17"/>
      <c r="I140" s="17"/>
      <c r="J140" s="17"/>
      <c r="K140" s="18"/>
      <c r="L140" s="18"/>
      <c r="M140" s="18"/>
      <c r="N140" s="18"/>
      <c r="O140" s="18"/>
      <c r="P140" s="18"/>
      <c r="Q140" s="18"/>
      <c r="R140" s="18"/>
    </row>
    <row r="141" spans="1:18" ht="15.75" thickBot="1" x14ac:dyDescent="0.3"/>
    <row r="142" spans="1:18" ht="15.75" thickBot="1" x14ac:dyDescent="0.3">
      <c r="A142" s="1"/>
      <c r="B142" s="4" t="s">
        <v>0</v>
      </c>
      <c r="C142" s="4" t="s">
        <v>3</v>
      </c>
      <c r="D142" s="4" t="s">
        <v>11</v>
      </c>
      <c r="E142" s="4" t="s">
        <v>20</v>
      </c>
      <c r="F142" s="4" t="s">
        <v>40</v>
      </c>
      <c r="G142" s="4" t="s">
        <v>52</v>
      </c>
      <c r="H142" s="4" t="s">
        <v>70</v>
      </c>
      <c r="I142" s="4" t="s">
        <v>116</v>
      </c>
      <c r="J142" s="4" t="s">
        <v>78</v>
      </c>
      <c r="K142" s="4" t="s">
        <v>108</v>
      </c>
      <c r="L142" s="4" t="s">
        <v>106</v>
      </c>
      <c r="M142" s="4" t="s">
        <v>107</v>
      </c>
      <c r="N142" s="4" t="s">
        <v>109</v>
      </c>
      <c r="O142" s="4" t="s">
        <v>110</v>
      </c>
      <c r="P142" s="4" t="s">
        <v>111</v>
      </c>
      <c r="Q142" s="4" t="s">
        <v>112</v>
      </c>
      <c r="R142" s="4" t="s">
        <v>113</v>
      </c>
    </row>
    <row r="143" spans="1:18" x14ac:dyDescent="0.25">
      <c r="A143" s="1"/>
      <c r="B143" s="7">
        <v>1</v>
      </c>
      <c r="C143" s="12" t="s">
        <v>4</v>
      </c>
      <c r="D143" s="5" t="s">
        <v>907</v>
      </c>
      <c r="E143" s="5" t="s">
        <v>22</v>
      </c>
      <c r="F143" s="5" t="s">
        <v>42</v>
      </c>
      <c r="G143" s="5" t="s">
        <v>54</v>
      </c>
      <c r="H143" s="5" t="s">
        <v>71</v>
      </c>
      <c r="I143" s="22" t="s">
        <v>923</v>
      </c>
      <c r="J143" s="5" t="s">
        <v>80</v>
      </c>
      <c r="K143" s="5" t="s">
        <v>251</v>
      </c>
      <c r="L143" s="5">
        <v>6</v>
      </c>
      <c r="M143" s="5">
        <f>L143*5</f>
        <v>30</v>
      </c>
      <c r="N143" s="5">
        <v>100</v>
      </c>
      <c r="O143" s="19" t="s">
        <v>280</v>
      </c>
      <c r="P143" s="6">
        <v>4.8999999999999998E-3</v>
      </c>
      <c r="Q143" s="6">
        <f>P143*N143</f>
        <v>0.49</v>
      </c>
      <c r="R143" s="5"/>
    </row>
    <row r="144" spans="1:18" x14ac:dyDescent="0.25">
      <c r="A144" s="1"/>
      <c r="B144" s="7">
        <v>2</v>
      </c>
      <c r="C144" s="13" t="s">
        <v>4</v>
      </c>
      <c r="D144" s="10" t="s">
        <v>908</v>
      </c>
      <c r="E144" s="10" t="s">
        <v>24</v>
      </c>
      <c r="F144" s="10" t="s">
        <v>43</v>
      </c>
      <c r="G144" s="10" t="s">
        <v>56</v>
      </c>
      <c r="H144" s="10" t="s">
        <v>71</v>
      </c>
      <c r="I144" s="22" t="s">
        <v>923</v>
      </c>
      <c r="J144" s="10" t="s">
        <v>82</v>
      </c>
      <c r="K144" s="10" t="s">
        <v>98</v>
      </c>
      <c r="L144" s="10">
        <v>6</v>
      </c>
      <c r="M144" s="10">
        <f t="shared" ref="M144" si="108">L144*5</f>
        <v>30</v>
      </c>
      <c r="N144" s="10">
        <v>100</v>
      </c>
      <c r="O144" s="19" t="s">
        <v>280</v>
      </c>
      <c r="P144" s="11">
        <v>3.8999999999999998E-3</v>
      </c>
      <c r="Q144" s="11">
        <f t="shared" ref="Q144" si="109">P144*N144</f>
        <v>0.38999999999999996</v>
      </c>
      <c r="R144" s="10"/>
    </row>
    <row r="145" spans="1:18" ht="48" x14ac:dyDescent="0.25">
      <c r="A145" s="1"/>
      <c r="B145" s="7">
        <v>3</v>
      </c>
      <c r="C145" s="13" t="s">
        <v>4</v>
      </c>
      <c r="D145" s="5" t="s">
        <v>909</v>
      </c>
      <c r="E145" s="5" t="s">
        <v>25</v>
      </c>
      <c r="F145" s="5" t="s">
        <v>43</v>
      </c>
      <c r="G145" s="5" t="s">
        <v>57</v>
      </c>
      <c r="H145" s="5" t="s">
        <v>71</v>
      </c>
      <c r="I145" s="22" t="s">
        <v>923</v>
      </c>
      <c r="J145" s="5" t="s">
        <v>83</v>
      </c>
      <c r="K145" s="5" t="s">
        <v>96</v>
      </c>
      <c r="L145" s="5">
        <v>23</v>
      </c>
      <c r="M145" s="5">
        <f>L145*5</f>
        <v>115</v>
      </c>
      <c r="N145" s="5">
        <v>200</v>
      </c>
      <c r="O145" s="19" t="s">
        <v>280</v>
      </c>
      <c r="P145" s="6">
        <v>1E-3</v>
      </c>
      <c r="Q145" s="6">
        <f>P145*N145</f>
        <v>0.2</v>
      </c>
      <c r="R145" s="5"/>
    </row>
    <row r="146" spans="1:18" x14ac:dyDescent="0.25">
      <c r="A146" s="1"/>
      <c r="B146" s="7">
        <v>4</v>
      </c>
      <c r="C146" s="13" t="s">
        <v>4</v>
      </c>
      <c r="D146" s="10" t="s">
        <v>910</v>
      </c>
      <c r="E146" s="10" t="s">
        <v>21</v>
      </c>
      <c r="F146" s="10" t="s">
        <v>41</v>
      </c>
      <c r="G146" s="10" t="s">
        <v>53</v>
      </c>
      <c r="H146" s="10" t="s">
        <v>71</v>
      </c>
      <c r="I146" s="22" t="s">
        <v>923</v>
      </c>
      <c r="J146" s="10" t="s">
        <v>79</v>
      </c>
      <c r="K146" s="10" t="s">
        <v>95</v>
      </c>
      <c r="L146" s="10">
        <v>5</v>
      </c>
      <c r="M146" s="10">
        <f t="shared" ref="M146" si="110">L146*5</f>
        <v>25</v>
      </c>
      <c r="N146" s="10">
        <v>50</v>
      </c>
      <c r="O146" s="19" t="s">
        <v>280</v>
      </c>
      <c r="P146" s="11">
        <v>1.21E-2</v>
      </c>
      <c r="Q146" s="11">
        <f t="shared" ref="Q146" si="111">P146*N146</f>
        <v>0.60499999999999998</v>
      </c>
      <c r="R146" s="10"/>
    </row>
    <row r="147" spans="1:18" x14ac:dyDescent="0.25">
      <c r="A147" s="1"/>
      <c r="B147" s="7">
        <v>5</v>
      </c>
      <c r="C147" s="13" t="s">
        <v>4</v>
      </c>
      <c r="D147" s="5" t="s">
        <v>172</v>
      </c>
      <c r="E147" s="5" t="s">
        <v>173</v>
      </c>
      <c r="F147" s="5" t="s">
        <v>43</v>
      </c>
      <c r="G147" s="5" t="s">
        <v>174</v>
      </c>
      <c r="H147" s="5" t="s">
        <v>71</v>
      </c>
      <c r="I147" s="22" t="s">
        <v>923</v>
      </c>
      <c r="J147" s="5" t="s">
        <v>252</v>
      </c>
      <c r="K147" s="5" t="s">
        <v>97</v>
      </c>
      <c r="L147" s="5">
        <v>4</v>
      </c>
      <c r="M147" s="5">
        <f>L147*5</f>
        <v>20</v>
      </c>
      <c r="N147" s="10">
        <v>100</v>
      </c>
      <c r="O147" s="19" t="s">
        <v>280</v>
      </c>
      <c r="P147" s="11">
        <v>8.9999999999999998E-4</v>
      </c>
      <c r="Q147" s="6">
        <f>P147*N147</f>
        <v>0.09</v>
      </c>
      <c r="R147" s="5"/>
    </row>
    <row r="148" spans="1:18" x14ac:dyDescent="0.25">
      <c r="A148" s="1"/>
      <c r="B148" s="7">
        <v>7</v>
      </c>
      <c r="C148" s="13" t="s">
        <v>4</v>
      </c>
      <c r="D148" s="5" t="s">
        <v>12</v>
      </c>
      <c r="E148" s="5" t="s">
        <v>23</v>
      </c>
      <c r="F148" s="5" t="s">
        <v>43</v>
      </c>
      <c r="G148" s="5" t="s">
        <v>55</v>
      </c>
      <c r="H148" s="5" t="s">
        <v>71</v>
      </c>
      <c r="I148" s="22" t="s">
        <v>923</v>
      </c>
      <c r="J148" s="5" t="s">
        <v>81</v>
      </c>
      <c r="K148" s="5" t="s">
        <v>97</v>
      </c>
      <c r="L148" s="5">
        <v>1</v>
      </c>
      <c r="M148" s="5">
        <f>L148*5</f>
        <v>5</v>
      </c>
      <c r="N148" s="10">
        <v>100</v>
      </c>
      <c r="O148" s="19" t="s">
        <v>280</v>
      </c>
      <c r="P148" s="11">
        <v>5.4000000000000003E-3</v>
      </c>
      <c r="Q148" s="6">
        <f>P148*N148</f>
        <v>0.54</v>
      </c>
      <c r="R148" s="5"/>
    </row>
    <row r="149" spans="1:18" x14ac:dyDescent="0.25">
      <c r="A149" s="1"/>
      <c r="B149" s="7">
        <v>8</v>
      </c>
      <c r="C149" s="13" t="s">
        <v>4</v>
      </c>
      <c r="D149" s="10" t="s">
        <v>117</v>
      </c>
      <c r="E149" s="10" t="s">
        <v>118</v>
      </c>
      <c r="F149" s="10" t="s">
        <v>43</v>
      </c>
      <c r="G149" s="10" t="s">
        <v>119</v>
      </c>
      <c r="H149" s="10" t="s">
        <v>71</v>
      </c>
      <c r="I149" s="22" t="s">
        <v>923</v>
      </c>
      <c r="J149" s="10" t="s">
        <v>154</v>
      </c>
      <c r="K149" s="10" t="s">
        <v>155</v>
      </c>
      <c r="L149" s="10">
        <v>2</v>
      </c>
      <c r="M149" s="10">
        <f t="shared" ref="M149" si="112">L149*5</f>
        <v>10</v>
      </c>
      <c r="N149" s="10">
        <v>100</v>
      </c>
      <c r="O149" s="19" t="s">
        <v>280</v>
      </c>
      <c r="P149" s="11">
        <v>1E-3</v>
      </c>
      <c r="Q149" s="11">
        <f t="shared" ref="Q149" si="113">P149*N149</f>
        <v>0.1</v>
      </c>
      <c r="R149" s="10"/>
    </row>
    <row r="150" spans="1:18" x14ac:dyDescent="0.25">
      <c r="A150" s="1"/>
      <c r="B150" s="7">
        <v>9</v>
      </c>
      <c r="C150" s="13" t="s">
        <v>4</v>
      </c>
      <c r="D150" s="5" t="s">
        <v>175</v>
      </c>
      <c r="E150" s="5" t="s">
        <v>176</v>
      </c>
      <c r="F150" s="5" t="s">
        <v>380</v>
      </c>
      <c r="G150" s="5" t="s">
        <v>177</v>
      </c>
      <c r="H150" s="5" t="s">
        <v>178</v>
      </c>
      <c r="I150" s="22" t="s">
        <v>923</v>
      </c>
      <c r="J150" s="5" t="s">
        <v>253</v>
      </c>
      <c r="K150" s="5" t="s">
        <v>254</v>
      </c>
      <c r="L150" s="5">
        <v>1</v>
      </c>
      <c r="M150" s="5">
        <f>L150*5</f>
        <v>5</v>
      </c>
      <c r="N150" s="5">
        <v>6</v>
      </c>
      <c r="O150" s="19" t="s">
        <v>280</v>
      </c>
      <c r="P150" s="6">
        <v>1.3270999999999999</v>
      </c>
      <c r="Q150" s="6">
        <f>P150*N150</f>
        <v>7.9626000000000001</v>
      </c>
      <c r="R150" s="5"/>
    </row>
    <row r="151" spans="1:18" x14ac:dyDescent="0.25">
      <c r="A151" s="1"/>
      <c r="B151" s="7">
        <v>10</v>
      </c>
      <c r="C151" s="13" t="s">
        <v>4</v>
      </c>
      <c r="D151" s="10" t="s">
        <v>179</v>
      </c>
      <c r="E151" s="10" t="s">
        <v>180</v>
      </c>
      <c r="F151" s="10" t="s">
        <v>42</v>
      </c>
      <c r="G151" s="10" t="s">
        <v>181</v>
      </c>
      <c r="H151" s="10" t="s">
        <v>182</v>
      </c>
      <c r="I151" s="22" t="s">
        <v>923</v>
      </c>
      <c r="J151" s="10" t="s">
        <v>255</v>
      </c>
      <c r="K151" s="10" t="s">
        <v>256</v>
      </c>
      <c r="L151" s="10">
        <v>4</v>
      </c>
      <c r="M151" s="10">
        <f t="shared" ref="M151" si="114">L151*5</f>
        <v>20</v>
      </c>
      <c r="N151" s="10">
        <v>30</v>
      </c>
      <c r="O151" s="19" t="s">
        <v>280</v>
      </c>
      <c r="P151" s="11">
        <v>3.9300000000000002E-2</v>
      </c>
      <c r="Q151" s="11">
        <f t="shared" ref="Q151" si="115">P151*N151</f>
        <v>1.179</v>
      </c>
      <c r="R151" s="10"/>
    </row>
    <row r="152" spans="1:18" x14ac:dyDescent="0.25">
      <c r="A152" s="1"/>
      <c r="B152" s="7">
        <v>11</v>
      </c>
      <c r="C152" s="12" t="s">
        <v>72</v>
      </c>
      <c r="D152" s="5" t="s">
        <v>183</v>
      </c>
      <c r="E152" s="5" t="s">
        <v>184</v>
      </c>
      <c r="F152" s="5" t="s">
        <v>185</v>
      </c>
      <c r="G152" s="5" t="s">
        <v>186</v>
      </c>
      <c r="H152" s="5" t="s">
        <v>72</v>
      </c>
      <c r="I152" s="22" t="s">
        <v>923</v>
      </c>
      <c r="J152" s="5" t="s">
        <v>257</v>
      </c>
      <c r="K152" s="5" t="s">
        <v>114</v>
      </c>
      <c r="L152" s="5">
        <v>1</v>
      </c>
      <c r="M152" s="5">
        <f>L152*5</f>
        <v>5</v>
      </c>
      <c r="N152" s="5">
        <v>20</v>
      </c>
      <c r="O152" s="19" t="s">
        <v>280</v>
      </c>
      <c r="P152" s="6">
        <v>3.5900000000000001E-2</v>
      </c>
      <c r="Q152" s="6">
        <f>P152*N152</f>
        <v>0.71799999999999997</v>
      </c>
      <c r="R152" s="5"/>
    </row>
    <row r="153" spans="1:18" ht="36" x14ac:dyDescent="0.25">
      <c r="A153" s="1"/>
      <c r="B153" s="7">
        <v>12</v>
      </c>
      <c r="C153" s="13" t="s">
        <v>5</v>
      </c>
      <c r="D153" s="10" t="s">
        <v>911</v>
      </c>
      <c r="E153" s="10" t="s">
        <v>120</v>
      </c>
      <c r="F153" s="10" t="s">
        <v>121</v>
      </c>
      <c r="G153" s="10" t="s">
        <v>122</v>
      </c>
      <c r="H153" s="10" t="s">
        <v>123</v>
      </c>
      <c r="I153" s="22" t="s">
        <v>923</v>
      </c>
      <c r="J153" s="10" t="s">
        <v>156</v>
      </c>
      <c r="K153" s="5" t="s">
        <v>114</v>
      </c>
      <c r="L153" s="10">
        <v>2</v>
      </c>
      <c r="M153" s="10">
        <f t="shared" ref="M153" si="116">L153*5</f>
        <v>10</v>
      </c>
      <c r="N153" s="10">
        <v>100</v>
      </c>
      <c r="O153" s="19" t="s">
        <v>280</v>
      </c>
      <c r="P153" s="11">
        <v>5.5999999999999999E-3</v>
      </c>
      <c r="Q153" s="11">
        <f t="shared" ref="Q153" si="117">P153*N153</f>
        <v>0.55999999999999994</v>
      </c>
      <c r="R153" s="10"/>
    </row>
    <row r="154" spans="1:18" ht="24" x14ac:dyDescent="0.25">
      <c r="A154" s="1"/>
      <c r="B154" s="7">
        <v>13</v>
      </c>
      <c r="C154" s="13" t="s">
        <v>5</v>
      </c>
      <c r="D154" s="5" t="s">
        <v>912</v>
      </c>
      <c r="E154" s="5" t="s">
        <v>27</v>
      </c>
      <c r="F154" s="5" t="s">
        <v>45</v>
      </c>
      <c r="G154" s="5" t="s">
        <v>59</v>
      </c>
      <c r="H154" s="5" t="s">
        <v>73</v>
      </c>
      <c r="I154" s="22" t="s">
        <v>923</v>
      </c>
      <c r="J154" s="5" t="s">
        <v>85</v>
      </c>
      <c r="K154" s="5" t="s">
        <v>114</v>
      </c>
      <c r="L154" s="5">
        <v>12</v>
      </c>
      <c r="M154" s="5">
        <f>L154*5</f>
        <v>60</v>
      </c>
      <c r="N154" s="5">
        <v>80</v>
      </c>
      <c r="O154" s="19" t="s">
        <v>280</v>
      </c>
      <c r="P154" s="6">
        <v>2.23E-2</v>
      </c>
      <c r="Q154" s="6">
        <f>P154*N154</f>
        <v>1.784</v>
      </c>
      <c r="R154" s="5"/>
    </row>
    <row r="155" spans="1:18" x14ac:dyDescent="0.25">
      <c r="A155" s="1"/>
      <c r="B155" s="7">
        <v>14</v>
      </c>
      <c r="C155" s="13" t="s">
        <v>5</v>
      </c>
      <c r="D155" s="10" t="s">
        <v>913</v>
      </c>
      <c r="E155" s="10" t="s">
        <v>26</v>
      </c>
      <c r="F155" s="10" t="s">
        <v>44</v>
      </c>
      <c r="G155" s="10" t="s">
        <v>58</v>
      </c>
      <c r="H155" s="10" t="s">
        <v>72</v>
      </c>
      <c r="I155" s="22" t="s">
        <v>923</v>
      </c>
      <c r="J155" s="10" t="s">
        <v>84</v>
      </c>
      <c r="K155" s="5" t="s">
        <v>114</v>
      </c>
      <c r="L155" s="10">
        <v>3</v>
      </c>
      <c r="M155" s="10">
        <f t="shared" ref="M155" si="118">L155*5</f>
        <v>15</v>
      </c>
      <c r="N155" s="5">
        <v>20</v>
      </c>
      <c r="O155" s="19" t="s">
        <v>280</v>
      </c>
      <c r="P155" s="6">
        <v>0.14269999999999999</v>
      </c>
      <c r="Q155" s="11">
        <f t="shared" ref="Q155" si="119">P155*N155</f>
        <v>2.8540000000000001</v>
      </c>
      <c r="R155" s="10"/>
    </row>
    <row r="156" spans="1:18" x14ac:dyDescent="0.25">
      <c r="A156" s="1"/>
      <c r="B156" s="7">
        <v>15</v>
      </c>
      <c r="C156" s="12" t="s">
        <v>5</v>
      </c>
      <c r="D156" s="5" t="s">
        <v>187</v>
      </c>
      <c r="E156" s="5" t="s">
        <v>188</v>
      </c>
      <c r="F156" s="5" t="s">
        <v>44</v>
      </c>
      <c r="G156" s="5" t="s">
        <v>189</v>
      </c>
      <c r="H156" s="5" t="s">
        <v>72</v>
      </c>
      <c r="I156" s="22" t="s">
        <v>923</v>
      </c>
      <c r="J156" s="5" t="s">
        <v>258</v>
      </c>
      <c r="K156" s="5" t="s">
        <v>114</v>
      </c>
      <c r="L156" s="5">
        <v>1</v>
      </c>
      <c r="M156" s="5">
        <f>L156*5</f>
        <v>5</v>
      </c>
      <c r="N156" s="5">
        <v>10</v>
      </c>
      <c r="O156" s="19" t="s">
        <v>280</v>
      </c>
      <c r="P156" s="6">
        <v>0.13059999999999999</v>
      </c>
      <c r="Q156" s="6">
        <f>P156*N156</f>
        <v>1.306</v>
      </c>
      <c r="R156" s="5"/>
    </row>
    <row r="157" spans="1:18" ht="24" x14ac:dyDescent="0.25">
      <c r="A157" s="1"/>
      <c r="B157" s="7">
        <v>16</v>
      </c>
      <c r="C157" s="13" t="s">
        <v>6</v>
      </c>
      <c r="D157" s="10" t="s">
        <v>124</v>
      </c>
      <c r="E157" s="10" t="s">
        <v>125</v>
      </c>
      <c r="F157" s="10" t="s">
        <v>46</v>
      </c>
      <c r="G157" s="10" t="s">
        <v>126</v>
      </c>
      <c r="H157" s="10" t="s">
        <v>127</v>
      </c>
      <c r="I157" s="22" t="s">
        <v>923</v>
      </c>
      <c r="J157" s="10" t="s">
        <v>157</v>
      </c>
      <c r="K157" s="10" t="s">
        <v>158</v>
      </c>
      <c r="L157" s="10">
        <v>2</v>
      </c>
      <c r="M157" s="10">
        <f t="shared" ref="M157" si="120">L157*5</f>
        <v>10</v>
      </c>
      <c r="N157" s="5">
        <v>100</v>
      </c>
      <c r="O157" s="19" t="s">
        <v>280</v>
      </c>
      <c r="P157" s="6">
        <v>4.7000000000000002E-3</v>
      </c>
      <c r="Q157" s="11">
        <f t="shared" ref="Q157" si="121">P157*N157</f>
        <v>0.47000000000000003</v>
      </c>
      <c r="R157" s="10"/>
    </row>
    <row r="158" spans="1:18" x14ac:dyDescent="0.25">
      <c r="A158" s="1"/>
      <c r="B158" s="7">
        <v>17</v>
      </c>
      <c r="C158" s="12" t="s">
        <v>6</v>
      </c>
      <c r="D158" s="5" t="s">
        <v>914</v>
      </c>
      <c r="E158" s="5" t="s">
        <v>28</v>
      </c>
      <c r="F158" s="5" t="s">
        <v>46</v>
      </c>
      <c r="G158" s="5">
        <v>742792641</v>
      </c>
      <c r="H158" s="5" t="s">
        <v>74</v>
      </c>
      <c r="I158" s="22" t="s">
        <v>923</v>
      </c>
      <c r="J158" s="5" t="s">
        <v>114</v>
      </c>
      <c r="K158" s="5" t="s">
        <v>114</v>
      </c>
      <c r="L158" s="5">
        <v>7</v>
      </c>
      <c r="M158" s="5">
        <f>L158*5</f>
        <v>35</v>
      </c>
      <c r="N158" s="10">
        <v>40</v>
      </c>
      <c r="O158" s="19" t="s">
        <v>924</v>
      </c>
      <c r="P158" s="11">
        <v>6.3519999999999993E-2</v>
      </c>
      <c r="Q158" s="6">
        <f>P158*N158</f>
        <v>2.5407999999999999</v>
      </c>
      <c r="R158" s="5"/>
    </row>
    <row r="159" spans="1:18" ht="36" x14ac:dyDescent="0.25">
      <c r="A159" s="1"/>
      <c r="B159" s="7">
        <v>19</v>
      </c>
      <c r="C159" s="12" t="s">
        <v>7</v>
      </c>
      <c r="D159" s="5" t="s">
        <v>13</v>
      </c>
      <c r="E159" s="5" t="s">
        <v>29</v>
      </c>
      <c r="F159" s="5" t="s">
        <v>380</v>
      </c>
      <c r="G159" s="5" t="s">
        <v>47</v>
      </c>
      <c r="H159" s="5" t="s">
        <v>75</v>
      </c>
      <c r="I159" s="22" t="s">
        <v>923</v>
      </c>
      <c r="J159" s="5" t="s">
        <v>114</v>
      </c>
      <c r="K159" s="5" t="s">
        <v>114</v>
      </c>
      <c r="L159" s="5">
        <v>1</v>
      </c>
      <c r="M159" s="5">
        <f>L159*5</f>
        <v>5</v>
      </c>
      <c r="N159" s="5">
        <v>6</v>
      </c>
      <c r="O159" s="20" t="s">
        <v>925</v>
      </c>
      <c r="P159" s="6">
        <v>13.069800000000001</v>
      </c>
      <c r="Q159" s="6">
        <f>P159*N159</f>
        <v>78.418800000000005</v>
      </c>
      <c r="R159" s="5"/>
    </row>
    <row r="160" spans="1:18" x14ac:dyDescent="0.25">
      <c r="A160" s="1"/>
      <c r="B160" s="7">
        <v>20</v>
      </c>
      <c r="C160" s="13" t="s">
        <v>190</v>
      </c>
      <c r="D160" s="10" t="s">
        <v>191</v>
      </c>
      <c r="E160" s="10" t="s">
        <v>192</v>
      </c>
      <c r="F160" s="5" t="s">
        <v>380</v>
      </c>
      <c r="G160" s="10" t="s">
        <v>193</v>
      </c>
      <c r="H160" s="10" t="s">
        <v>194</v>
      </c>
      <c r="I160" s="22" t="s">
        <v>923</v>
      </c>
      <c r="J160" s="10" t="s">
        <v>259</v>
      </c>
      <c r="K160" s="5" t="s">
        <v>114</v>
      </c>
      <c r="L160" s="10">
        <v>1</v>
      </c>
      <c r="M160" s="10">
        <f t="shared" ref="M160" si="122">L160*5</f>
        <v>5</v>
      </c>
      <c r="N160" s="10">
        <v>6</v>
      </c>
      <c r="O160" s="19" t="s">
        <v>280</v>
      </c>
      <c r="P160" s="11">
        <v>1.5605</v>
      </c>
      <c r="Q160" s="11">
        <f t="shared" ref="Q160" si="123">P160*N160</f>
        <v>9.3629999999999995</v>
      </c>
      <c r="R160" s="10"/>
    </row>
    <row r="161" spans="1:18" x14ac:dyDescent="0.25">
      <c r="A161" s="1"/>
      <c r="B161" s="7">
        <v>21</v>
      </c>
      <c r="C161" s="12" t="s">
        <v>195</v>
      </c>
      <c r="D161" s="5" t="s">
        <v>196</v>
      </c>
      <c r="E161" s="5" t="s">
        <v>197</v>
      </c>
      <c r="F161" s="5" t="s">
        <v>380</v>
      </c>
      <c r="G161" s="5">
        <v>1715721</v>
      </c>
      <c r="H161" s="5" t="s">
        <v>198</v>
      </c>
      <c r="I161" s="22" t="s">
        <v>923</v>
      </c>
      <c r="J161" s="5" t="s">
        <v>281</v>
      </c>
      <c r="K161" s="5" t="s">
        <v>114</v>
      </c>
      <c r="L161" s="5">
        <v>1</v>
      </c>
      <c r="M161" s="5">
        <f>L161*5</f>
        <v>5</v>
      </c>
      <c r="N161" s="5">
        <v>6</v>
      </c>
      <c r="O161" s="19" t="s">
        <v>280</v>
      </c>
      <c r="P161" s="6">
        <v>0.37419999999999998</v>
      </c>
      <c r="Q161" s="6">
        <f>P161*N161</f>
        <v>2.2451999999999996</v>
      </c>
      <c r="R161" s="5"/>
    </row>
    <row r="162" spans="1:18" ht="24" x14ac:dyDescent="0.25">
      <c r="A162" s="1"/>
      <c r="B162" s="7">
        <v>22</v>
      </c>
      <c r="C162" s="13" t="s">
        <v>199</v>
      </c>
      <c r="D162" s="10" t="s">
        <v>200</v>
      </c>
      <c r="E162" s="10" t="s">
        <v>201</v>
      </c>
      <c r="F162" s="10" t="s">
        <v>202</v>
      </c>
      <c r="G162" s="10" t="s">
        <v>203</v>
      </c>
      <c r="H162" s="10" t="s">
        <v>204</v>
      </c>
      <c r="I162" s="22" t="s">
        <v>923</v>
      </c>
      <c r="J162" s="10" t="s">
        <v>114</v>
      </c>
      <c r="K162" s="5" t="s">
        <v>114</v>
      </c>
      <c r="L162" s="10">
        <v>2</v>
      </c>
      <c r="M162" s="10">
        <f t="shared" ref="M162" si="124">L162*5</f>
        <v>10</v>
      </c>
      <c r="N162" s="10">
        <v>11</v>
      </c>
      <c r="O162" s="19" t="s">
        <v>925</v>
      </c>
      <c r="P162" s="11">
        <v>4.0247999999999999</v>
      </c>
      <c r="Q162" s="11">
        <f t="shared" ref="Q162" si="125">P162*N162</f>
        <v>44.272799999999997</v>
      </c>
      <c r="R162" s="10"/>
    </row>
    <row r="163" spans="1:18" x14ac:dyDescent="0.25">
      <c r="A163" s="1"/>
      <c r="B163" s="7">
        <v>23</v>
      </c>
      <c r="C163" s="12" t="s">
        <v>205</v>
      </c>
      <c r="D163" s="5" t="s">
        <v>206</v>
      </c>
      <c r="E163" s="5" t="s">
        <v>207</v>
      </c>
      <c r="F163" s="5" t="s">
        <v>208</v>
      </c>
      <c r="G163" s="5" t="s">
        <v>209</v>
      </c>
      <c r="H163" s="5" t="s">
        <v>72</v>
      </c>
      <c r="I163" s="22" t="s">
        <v>923</v>
      </c>
      <c r="J163" s="5" t="s">
        <v>282</v>
      </c>
      <c r="K163" s="5" t="s">
        <v>114</v>
      </c>
      <c r="L163" s="5">
        <v>4</v>
      </c>
      <c r="M163" s="5">
        <f>L163*5</f>
        <v>20</v>
      </c>
      <c r="N163" s="5">
        <v>40</v>
      </c>
      <c r="O163" s="19" t="s">
        <v>280</v>
      </c>
      <c r="P163" s="6">
        <v>2.9100000000000001E-2</v>
      </c>
      <c r="Q163" s="6">
        <f>P163*N163</f>
        <v>1.1640000000000001</v>
      </c>
      <c r="R163" s="5"/>
    </row>
    <row r="164" spans="1:18" x14ac:dyDescent="0.25">
      <c r="A164" s="1"/>
      <c r="B164" s="7">
        <v>24</v>
      </c>
      <c r="C164" s="13" t="s">
        <v>8</v>
      </c>
      <c r="D164" s="10" t="s">
        <v>14</v>
      </c>
      <c r="E164" s="10" t="s">
        <v>30</v>
      </c>
      <c r="F164" s="10" t="s">
        <v>48</v>
      </c>
      <c r="G164" s="10" t="s">
        <v>60</v>
      </c>
      <c r="H164" s="10" t="s">
        <v>76</v>
      </c>
      <c r="I164" s="22" t="s">
        <v>923</v>
      </c>
      <c r="J164" s="10" t="s">
        <v>86</v>
      </c>
      <c r="K164" s="5" t="s">
        <v>114</v>
      </c>
      <c r="L164" s="10">
        <v>2</v>
      </c>
      <c r="M164" s="10">
        <f t="shared" ref="M164" si="126">L164*5</f>
        <v>10</v>
      </c>
      <c r="N164" s="10">
        <v>15</v>
      </c>
      <c r="O164" s="19" t="s">
        <v>280</v>
      </c>
      <c r="P164" s="11">
        <v>0.23430000000000001</v>
      </c>
      <c r="Q164" s="11">
        <f t="shared" ref="Q164" si="127">P164*N164</f>
        <v>3.5145</v>
      </c>
      <c r="R164" s="10"/>
    </row>
    <row r="165" spans="1:18" x14ac:dyDescent="0.25">
      <c r="A165" s="1"/>
      <c r="B165" s="7">
        <v>25</v>
      </c>
      <c r="C165" s="12" t="s">
        <v>10</v>
      </c>
      <c r="D165" s="5" t="s">
        <v>210</v>
      </c>
      <c r="E165" s="5" t="s">
        <v>211</v>
      </c>
      <c r="F165" s="5" t="s">
        <v>49</v>
      </c>
      <c r="G165" s="5" t="s">
        <v>212</v>
      </c>
      <c r="H165" s="5" t="s">
        <v>71</v>
      </c>
      <c r="I165" s="22" t="s">
        <v>923</v>
      </c>
      <c r="J165" s="5" t="s">
        <v>260</v>
      </c>
      <c r="K165" s="5" t="s">
        <v>261</v>
      </c>
      <c r="L165" s="5">
        <v>4</v>
      </c>
      <c r="M165" s="5">
        <f>L165*5</f>
        <v>20</v>
      </c>
      <c r="N165" s="5">
        <v>100</v>
      </c>
      <c r="O165" s="19" t="s">
        <v>280</v>
      </c>
      <c r="P165" s="6">
        <v>5.9999999999999995E-4</v>
      </c>
      <c r="Q165" s="6">
        <f>P165*N165</f>
        <v>0.06</v>
      </c>
      <c r="R165" s="5"/>
    </row>
    <row r="166" spans="1:18" x14ac:dyDescent="0.25">
      <c r="A166" s="1"/>
      <c r="B166" s="7">
        <v>26</v>
      </c>
      <c r="C166" s="13" t="s">
        <v>10</v>
      </c>
      <c r="D166" s="10" t="s">
        <v>128</v>
      </c>
      <c r="E166" s="10" t="s">
        <v>129</v>
      </c>
      <c r="F166" s="10" t="s">
        <v>49</v>
      </c>
      <c r="G166" s="10" t="s">
        <v>130</v>
      </c>
      <c r="H166" s="10" t="s">
        <v>71</v>
      </c>
      <c r="I166" s="22" t="s">
        <v>923</v>
      </c>
      <c r="J166" s="10" t="s">
        <v>159</v>
      </c>
      <c r="K166" s="10" t="s">
        <v>160</v>
      </c>
      <c r="L166" s="10">
        <v>1</v>
      </c>
      <c r="M166" s="10">
        <f t="shared" ref="M166" si="128">L166*5</f>
        <v>5</v>
      </c>
      <c r="N166" s="5">
        <v>100</v>
      </c>
      <c r="O166" s="19" t="s">
        <v>280</v>
      </c>
      <c r="P166" s="6">
        <v>5.0000000000000001E-4</v>
      </c>
      <c r="Q166" s="11">
        <f t="shared" ref="Q166" si="129">P166*N166</f>
        <v>0.05</v>
      </c>
      <c r="R166" s="10"/>
    </row>
    <row r="167" spans="1:18" ht="24" x14ac:dyDescent="0.25">
      <c r="A167" s="1"/>
      <c r="B167" s="7">
        <v>27</v>
      </c>
      <c r="C167" s="12" t="s">
        <v>10</v>
      </c>
      <c r="D167" s="5" t="s">
        <v>131</v>
      </c>
      <c r="E167" s="5" t="s">
        <v>132</v>
      </c>
      <c r="F167" s="5" t="s">
        <v>49</v>
      </c>
      <c r="G167" s="5" t="s">
        <v>133</v>
      </c>
      <c r="H167" s="5" t="s">
        <v>71</v>
      </c>
      <c r="I167" s="22" t="s">
        <v>923</v>
      </c>
      <c r="J167" s="5" t="s">
        <v>161</v>
      </c>
      <c r="K167" s="5" t="s">
        <v>162</v>
      </c>
      <c r="L167" s="5">
        <v>8</v>
      </c>
      <c r="M167" s="5">
        <f>L167*5</f>
        <v>40</v>
      </c>
      <c r="N167" s="10">
        <v>100</v>
      </c>
      <c r="O167" s="19" t="s">
        <v>280</v>
      </c>
      <c r="P167" s="11">
        <v>5.9999999999999995E-4</v>
      </c>
      <c r="Q167" s="6">
        <f>P167*N167</f>
        <v>0.06</v>
      </c>
      <c r="R167" s="5"/>
    </row>
    <row r="168" spans="1:18" x14ac:dyDescent="0.25">
      <c r="A168" s="1"/>
      <c r="B168" s="7">
        <v>28</v>
      </c>
      <c r="C168" s="13" t="s">
        <v>10</v>
      </c>
      <c r="D168" s="10" t="s">
        <v>134</v>
      </c>
      <c r="E168" s="10" t="s">
        <v>135</v>
      </c>
      <c r="F168" s="10" t="s">
        <v>49</v>
      </c>
      <c r="G168" s="10" t="s">
        <v>136</v>
      </c>
      <c r="H168" s="10" t="s">
        <v>71</v>
      </c>
      <c r="I168" s="22" t="s">
        <v>923</v>
      </c>
      <c r="J168" s="10" t="s">
        <v>163</v>
      </c>
      <c r="K168" s="10" t="s">
        <v>164</v>
      </c>
      <c r="L168" s="10">
        <v>1</v>
      </c>
      <c r="M168" s="10">
        <f t="shared" ref="M168" si="130">L168*5</f>
        <v>5</v>
      </c>
      <c r="N168" s="10">
        <v>100</v>
      </c>
      <c r="O168" s="19" t="s">
        <v>280</v>
      </c>
      <c r="P168" s="11">
        <v>6.9999999999999999E-4</v>
      </c>
      <c r="Q168" s="11">
        <f t="shared" ref="Q168" si="131">P168*N168</f>
        <v>6.9999999999999993E-2</v>
      </c>
      <c r="R168" s="10"/>
    </row>
    <row r="169" spans="1:18" x14ac:dyDescent="0.25">
      <c r="A169" s="1"/>
      <c r="B169" s="7">
        <v>29</v>
      </c>
      <c r="C169" s="12" t="s">
        <v>9</v>
      </c>
      <c r="D169" s="5" t="s">
        <v>137</v>
      </c>
      <c r="E169" s="5" t="s">
        <v>138</v>
      </c>
      <c r="F169" s="5" t="s">
        <v>49</v>
      </c>
      <c r="G169" s="5" t="s">
        <v>139</v>
      </c>
      <c r="H169" s="5" t="s">
        <v>71</v>
      </c>
      <c r="I169" s="22" t="s">
        <v>923</v>
      </c>
      <c r="J169" s="5" t="s">
        <v>165</v>
      </c>
      <c r="K169" s="5" t="s">
        <v>166</v>
      </c>
      <c r="L169" s="5">
        <v>1</v>
      </c>
      <c r="M169" s="5">
        <f>L169*5</f>
        <v>5</v>
      </c>
      <c r="N169" s="5">
        <v>100</v>
      </c>
      <c r="O169" s="19" t="s">
        <v>280</v>
      </c>
      <c r="P169" s="6">
        <v>5.9999999999999995E-4</v>
      </c>
      <c r="Q169" s="6">
        <f>P169*N169</f>
        <v>0.06</v>
      </c>
      <c r="R169" s="5"/>
    </row>
    <row r="170" spans="1:18" ht="60" x14ac:dyDescent="0.25">
      <c r="A170" s="1"/>
      <c r="B170" s="7">
        <v>30</v>
      </c>
      <c r="C170" s="13" t="s">
        <v>9</v>
      </c>
      <c r="D170" s="10" t="s">
        <v>915</v>
      </c>
      <c r="E170" s="10" t="s">
        <v>31</v>
      </c>
      <c r="F170" s="10" t="s">
        <v>49</v>
      </c>
      <c r="G170" s="10" t="s">
        <v>61</v>
      </c>
      <c r="H170" s="10" t="s">
        <v>71</v>
      </c>
      <c r="I170" s="22" t="s">
        <v>923</v>
      </c>
      <c r="J170" s="10" t="s">
        <v>87</v>
      </c>
      <c r="K170" s="10" t="s">
        <v>99</v>
      </c>
      <c r="L170" s="10">
        <v>24</v>
      </c>
      <c r="M170" s="10">
        <f t="shared" ref="M170" si="132">L170*5</f>
        <v>120</v>
      </c>
      <c r="N170" s="10">
        <v>200</v>
      </c>
      <c r="O170" s="19" t="s">
        <v>280</v>
      </c>
      <c r="P170" s="11">
        <v>5.9999999999999995E-4</v>
      </c>
      <c r="Q170" s="11">
        <f t="shared" ref="Q170" si="133">P170*N170</f>
        <v>0.12</v>
      </c>
      <c r="R170" s="10"/>
    </row>
    <row r="171" spans="1:18" x14ac:dyDescent="0.25">
      <c r="A171" s="1"/>
      <c r="B171" s="7">
        <v>31</v>
      </c>
      <c r="C171" s="12" t="s">
        <v>10</v>
      </c>
      <c r="D171" s="5" t="s">
        <v>916</v>
      </c>
      <c r="E171" s="5" t="s">
        <v>32</v>
      </c>
      <c r="F171" s="5" t="s">
        <v>49</v>
      </c>
      <c r="G171" s="5" t="s">
        <v>62</v>
      </c>
      <c r="H171" s="5" t="s">
        <v>71</v>
      </c>
      <c r="I171" s="22" t="s">
        <v>923</v>
      </c>
      <c r="J171" s="5" t="s">
        <v>88</v>
      </c>
      <c r="K171" s="5" t="s">
        <v>100</v>
      </c>
      <c r="L171" s="5">
        <v>4</v>
      </c>
      <c r="M171" s="5">
        <f>L171*5</f>
        <v>20</v>
      </c>
      <c r="N171" s="10">
        <v>100</v>
      </c>
      <c r="O171" s="19" t="s">
        <v>280</v>
      </c>
      <c r="P171" s="11">
        <v>6.9999999999999999E-4</v>
      </c>
      <c r="Q171" s="6">
        <f>P171*N171</f>
        <v>6.9999999999999993E-2</v>
      </c>
      <c r="R171" s="5"/>
    </row>
    <row r="172" spans="1:18" x14ac:dyDescent="0.25">
      <c r="A172" s="1"/>
      <c r="B172" s="7">
        <v>32</v>
      </c>
      <c r="C172" s="13" t="s">
        <v>10</v>
      </c>
      <c r="D172" s="10" t="s">
        <v>917</v>
      </c>
      <c r="E172" s="10" t="s">
        <v>37</v>
      </c>
      <c r="F172" s="10" t="s">
        <v>49</v>
      </c>
      <c r="G172" s="10" t="s">
        <v>67</v>
      </c>
      <c r="H172" s="10" t="s">
        <v>71</v>
      </c>
      <c r="I172" s="22" t="s">
        <v>923</v>
      </c>
      <c r="J172" s="10" t="s">
        <v>93</v>
      </c>
      <c r="K172" s="10" t="s">
        <v>104</v>
      </c>
      <c r="L172" s="10">
        <v>6</v>
      </c>
      <c r="M172" s="10">
        <f t="shared" ref="M172" si="134">L172*5</f>
        <v>30</v>
      </c>
      <c r="N172" s="5">
        <v>100</v>
      </c>
      <c r="O172" s="19" t="s">
        <v>280</v>
      </c>
      <c r="P172" s="6">
        <v>6.9999999999999999E-4</v>
      </c>
      <c r="Q172" s="11">
        <f t="shared" ref="Q172" si="135">P172*N172</f>
        <v>6.9999999999999993E-2</v>
      </c>
      <c r="R172" s="10"/>
    </row>
    <row r="173" spans="1:18" x14ac:dyDescent="0.25">
      <c r="A173" s="1"/>
      <c r="B173" s="7">
        <v>33</v>
      </c>
      <c r="C173" s="12" t="s">
        <v>10</v>
      </c>
      <c r="D173" s="14" t="s">
        <v>140</v>
      </c>
      <c r="E173" s="14" t="s">
        <v>37</v>
      </c>
      <c r="F173" s="14" t="s">
        <v>49</v>
      </c>
      <c r="G173" s="14" t="s">
        <v>67</v>
      </c>
      <c r="H173" s="14" t="s">
        <v>71</v>
      </c>
      <c r="I173" s="22" t="s">
        <v>923</v>
      </c>
      <c r="J173" s="14" t="s">
        <v>93</v>
      </c>
      <c r="K173" s="14" t="s">
        <v>103</v>
      </c>
      <c r="L173" s="14">
        <v>1</v>
      </c>
      <c r="M173" s="14">
        <f>L173*5</f>
        <v>5</v>
      </c>
      <c r="N173" s="14" t="s">
        <v>114</v>
      </c>
      <c r="O173" s="14" t="s">
        <v>114</v>
      </c>
      <c r="P173" s="15" t="s">
        <v>114</v>
      </c>
      <c r="Q173" s="15" t="s">
        <v>114</v>
      </c>
      <c r="R173" s="16" t="s">
        <v>115</v>
      </c>
    </row>
    <row r="174" spans="1:18" ht="36" x14ac:dyDescent="0.25">
      <c r="A174" s="1"/>
      <c r="B174" s="7">
        <v>34</v>
      </c>
      <c r="C174" s="13" t="s">
        <v>10</v>
      </c>
      <c r="D174" s="10" t="s">
        <v>918</v>
      </c>
      <c r="E174" s="10" t="s">
        <v>38</v>
      </c>
      <c r="F174" s="10" t="s">
        <v>49</v>
      </c>
      <c r="G174" s="10" t="s">
        <v>68</v>
      </c>
      <c r="H174" s="10" t="s">
        <v>71</v>
      </c>
      <c r="I174" s="22" t="s">
        <v>923</v>
      </c>
      <c r="J174" s="10" t="s">
        <v>94</v>
      </c>
      <c r="K174" s="10" t="s">
        <v>105</v>
      </c>
      <c r="L174" s="10">
        <v>12</v>
      </c>
      <c r="M174" s="10">
        <f t="shared" ref="M174" si="136">L174*5</f>
        <v>60</v>
      </c>
      <c r="N174" s="5">
        <v>100</v>
      </c>
      <c r="O174" s="19" t="s">
        <v>280</v>
      </c>
      <c r="P174" s="6">
        <v>5.9999999999999995E-4</v>
      </c>
      <c r="Q174" s="11">
        <f t="shared" ref="Q174" si="137">P174*N174</f>
        <v>0.06</v>
      </c>
      <c r="R174" s="10"/>
    </row>
    <row r="175" spans="1:18" x14ac:dyDescent="0.25">
      <c r="A175" s="1"/>
      <c r="B175" s="7">
        <v>35</v>
      </c>
      <c r="C175" s="12" t="s">
        <v>10</v>
      </c>
      <c r="D175" s="5" t="s">
        <v>213</v>
      </c>
      <c r="E175" s="5" t="s">
        <v>214</v>
      </c>
      <c r="F175" s="5" t="s">
        <v>215</v>
      </c>
      <c r="G175" s="5" t="s">
        <v>216</v>
      </c>
      <c r="H175" s="5" t="s">
        <v>71</v>
      </c>
      <c r="I175" s="22" t="s">
        <v>923</v>
      </c>
      <c r="J175" s="5" t="s">
        <v>262</v>
      </c>
      <c r="K175" s="5" t="s">
        <v>263</v>
      </c>
      <c r="L175" s="5">
        <v>2</v>
      </c>
      <c r="M175" s="5">
        <f>L175*5</f>
        <v>10</v>
      </c>
      <c r="N175" s="10">
        <v>100</v>
      </c>
      <c r="O175" s="19" t="s">
        <v>280</v>
      </c>
      <c r="P175" s="11">
        <v>1.1999999999999999E-3</v>
      </c>
      <c r="Q175" s="6">
        <f>P175*N175</f>
        <v>0.12</v>
      </c>
      <c r="R175" s="5"/>
    </row>
    <row r="176" spans="1:18" x14ac:dyDescent="0.25">
      <c r="A176" s="1"/>
      <c r="B176" s="7">
        <v>36</v>
      </c>
      <c r="C176" s="13" t="s">
        <v>10</v>
      </c>
      <c r="D176" s="10" t="s">
        <v>217</v>
      </c>
      <c r="E176" s="10" t="s">
        <v>218</v>
      </c>
      <c r="F176" s="10" t="s">
        <v>49</v>
      </c>
      <c r="G176" s="10" t="s">
        <v>219</v>
      </c>
      <c r="H176" s="10" t="s">
        <v>71</v>
      </c>
      <c r="I176" s="22" t="s">
        <v>923</v>
      </c>
      <c r="J176" s="10" t="s">
        <v>264</v>
      </c>
      <c r="K176" s="10" t="s">
        <v>265</v>
      </c>
      <c r="L176" s="10">
        <v>4</v>
      </c>
      <c r="M176" s="10">
        <f t="shared" ref="M176" si="138">L176*5</f>
        <v>20</v>
      </c>
      <c r="N176" s="5">
        <v>50</v>
      </c>
      <c r="O176" s="19" t="s">
        <v>280</v>
      </c>
      <c r="P176" s="6">
        <v>2.0199999999999999E-2</v>
      </c>
      <c r="Q176" s="11">
        <f t="shared" ref="Q176" si="139">P176*N176</f>
        <v>1.01</v>
      </c>
      <c r="R176" s="10"/>
    </row>
    <row r="177" spans="1:18" x14ac:dyDescent="0.25">
      <c r="A177" s="1"/>
      <c r="B177" s="7">
        <v>37</v>
      </c>
      <c r="C177" s="12" t="s">
        <v>9</v>
      </c>
      <c r="D177" s="5" t="s">
        <v>15</v>
      </c>
      <c r="E177" s="5" t="s">
        <v>33</v>
      </c>
      <c r="F177" s="5" t="s">
        <v>49</v>
      </c>
      <c r="G177" s="5" t="s">
        <v>63</v>
      </c>
      <c r="H177" s="5" t="s">
        <v>71</v>
      </c>
      <c r="I177" s="22" t="s">
        <v>923</v>
      </c>
      <c r="J177" s="5" t="s">
        <v>89</v>
      </c>
      <c r="K177" s="5" t="s">
        <v>101</v>
      </c>
      <c r="L177" s="5">
        <v>1</v>
      </c>
      <c r="M177" s="5">
        <f>L177*5</f>
        <v>5</v>
      </c>
      <c r="N177" s="10">
        <v>20</v>
      </c>
      <c r="O177" s="19" t="s">
        <v>280</v>
      </c>
      <c r="P177" s="11">
        <v>2.0899999999999998E-2</v>
      </c>
      <c r="Q177" s="6">
        <f>P177*N177</f>
        <v>0.41799999999999998</v>
      </c>
      <c r="R177" s="5"/>
    </row>
    <row r="178" spans="1:18" x14ac:dyDescent="0.25">
      <c r="A178" s="1"/>
      <c r="B178" s="7">
        <v>38</v>
      </c>
      <c r="C178" s="13" t="s">
        <v>9</v>
      </c>
      <c r="D178" s="10" t="s">
        <v>16</v>
      </c>
      <c r="E178" s="10" t="s">
        <v>34</v>
      </c>
      <c r="F178" s="10" t="s">
        <v>50</v>
      </c>
      <c r="G178" s="10" t="s">
        <v>64</v>
      </c>
      <c r="H178" s="10" t="s">
        <v>71</v>
      </c>
      <c r="I178" s="22" t="s">
        <v>923</v>
      </c>
      <c r="J178" s="10" t="s">
        <v>90</v>
      </c>
      <c r="K178" s="10" t="s">
        <v>102</v>
      </c>
      <c r="L178" s="10">
        <v>2</v>
      </c>
      <c r="M178" s="10">
        <f t="shared" ref="M178" si="140">L178*5</f>
        <v>10</v>
      </c>
      <c r="N178" s="5">
        <v>15</v>
      </c>
      <c r="O178" s="19" t="s">
        <v>280</v>
      </c>
      <c r="P178" s="6">
        <v>8.4599999999999995E-2</v>
      </c>
      <c r="Q178" s="11">
        <f t="shared" ref="Q178" si="141">P178*N178</f>
        <v>1.2689999999999999</v>
      </c>
      <c r="R178" s="10"/>
    </row>
    <row r="179" spans="1:18" ht="36" x14ac:dyDescent="0.25">
      <c r="A179" s="1"/>
      <c r="B179" s="7">
        <v>39</v>
      </c>
      <c r="C179" s="12" t="s">
        <v>10</v>
      </c>
      <c r="D179" s="14" t="s">
        <v>17</v>
      </c>
      <c r="E179" s="14" t="s">
        <v>35</v>
      </c>
      <c r="F179" s="14" t="s">
        <v>49</v>
      </c>
      <c r="G179" s="14" t="s">
        <v>65</v>
      </c>
      <c r="H179" s="14" t="s">
        <v>77</v>
      </c>
      <c r="I179" s="22" t="s">
        <v>923</v>
      </c>
      <c r="J179" s="14" t="s">
        <v>91</v>
      </c>
      <c r="K179" s="14" t="s">
        <v>103</v>
      </c>
      <c r="L179" s="14">
        <v>1</v>
      </c>
      <c r="M179" s="14">
        <f>L179*5</f>
        <v>5</v>
      </c>
      <c r="N179" s="14" t="s">
        <v>114</v>
      </c>
      <c r="O179" s="14" t="s">
        <v>114</v>
      </c>
      <c r="P179" s="15" t="s">
        <v>114</v>
      </c>
      <c r="Q179" s="15" t="s">
        <v>114</v>
      </c>
      <c r="R179" s="16" t="s">
        <v>115</v>
      </c>
    </row>
    <row r="180" spans="1:18" x14ac:dyDescent="0.25">
      <c r="A180" s="1"/>
      <c r="B180" s="7">
        <v>40</v>
      </c>
      <c r="C180" s="13" t="s">
        <v>9</v>
      </c>
      <c r="D180" s="14" t="s">
        <v>18</v>
      </c>
      <c r="E180" s="14" t="s">
        <v>36</v>
      </c>
      <c r="F180" s="14" t="s">
        <v>49</v>
      </c>
      <c r="G180" s="14" t="s">
        <v>66</v>
      </c>
      <c r="H180" s="14" t="s">
        <v>71</v>
      </c>
      <c r="I180" s="22" t="s">
        <v>923</v>
      </c>
      <c r="J180" s="14" t="s">
        <v>92</v>
      </c>
      <c r="K180" s="14" t="s">
        <v>103</v>
      </c>
      <c r="L180" s="14">
        <v>1</v>
      </c>
      <c r="M180" s="14">
        <f t="shared" ref="M180" si="142">L180*5</f>
        <v>5</v>
      </c>
      <c r="N180" s="14" t="s">
        <v>114</v>
      </c>
      <c r="O180" s="14" t="s">
        <v>114</v>
      </c>
      <c r="P180" s="15" t="s">
        <v>114</v>
      </c>
      <c r="Q180" s="15" t="s">
        <v>114</v>
      </c>
      <c r="R180" s="16" t="s">
        <v>115</v>
      </c>
    </row>
    <row r="181" spans="1:18" ht="36" x14ac:dyDescent="0.25">
      <c r="A181" s="1"/>
      <c r="B181" s="7">
        <v>41</v>
      </c>
      <c r="C181" s="12" t="s">
        <v>10</v>
      </c>
      <c r="D181" s="5" t="s">
        <v>220</v>
      </c>
      <c r="E181" s="5" t="s">
        <v>221</v>
      </c>
      <c r="F181" s="5" t="s">
        <v>215</v>
      </c>
      <c r="G181" s="5" t="s">
        <v>222</v>
      </c>
      <c r="H181" s="5" t="s">
        <v>223</v>
      </c>
      <c r="I181" s="22" t="s">
        <v>923</v>
      </c>
      <c r="J181" s="5" t="s">
        <v>266</v>
      </c>
      <c r="K181" s="5" t="s">
        <v>267</v>
      </c>
      <c r="L181" s="5">
        <v>1</v>
      </c>
      <c r="M181" s="5">
        <f>L181*5</f>
        <v>5</v>
      </c>
      <c r="N181" s="5">
        <v>100</v>
      </c>
      <c r="O181" s="19" t="s">
        <v>280</v>
      </c>
      <c r="P181" s="6">
        <v>1E-3</v>
      </c>
      <c r="Q181" s="6">
        <f>P181*N181</f>
        <v>0.1</v>
      </c>
      <c r="R181" s="5"/>
    </row>
    <row r="182" spans="1:18" x14ac:dyDescent="0.25">
      <c r="A182" s="1"/>
      <c r="B182" s="7">
        <v>42</v>
      </c>
      <c r="C182" s="13" t="s">
        <v>10</v>
      </c>
      <c r="D182" s="10" t="s">
        <v>224</v>
      </c>
      <c r="E182" s="10" t="s">
        <v>225</v>
      </c>
      <c r="F182" s="10" t="s">
        <v>215</v>
      </c>
      <c r="G182" s="10" t="s">
        <v>226</v>
      </c>
      <c r="H182" s="10" t="s">
        <v>71</v>
      </c>
      <c r="I182" s="22" t="s">
        <v>923</v>
      </c>
      <c r="J182" s="10" t="s">
        <v>268</v>
      </c>
      <c r="K182" s="10" t="s">
        <v>269</v>
      </c>
      <c r="L182" s="10">
        <v>1</v>
      </c>
      <c r="M182" s="10">
        <f t="shared" ref="M182" si="143">L182*5</f>
        <v>5</v>
      </c>
      <c r="N182" s="10">
        <v>100</v>
      </c>
      <c r="O182" s="19" t="s">
        <v>280</v>
      </c>
      <c r="P182" s="11">
        <v>1.1999999999999999E-3</v>
      </c>
      <c r="Q182" s="11">
        <f t="shared" ref="Q182" si="144">P182*N182</f>
        <v>0.12</v>
      </c>
      <c r="R182" s="10"/>
    </row>
    <row r="183" spans="1:18" x14ac:dyDescent="0.25">
      <c r="A183" s="1"/>
      <c r="B183" s="7">
        <v>43</v>
      </c>
      <c r="C183" s="12" t="s">
        <v>10</v>
      </c>
      <c r="D183" s="5" t="s">
        <v>227</v>
      </c>
      <c r="E183" s="5" t="s">
        <v>228</v>
      </c>
      <c r="F183" s="5" t="s">
        <v>215</v>
      </c>
      <c r="G183" s="5" t="s">
        <v>229</v>
      </c>
      <c r="H183" s="5" t="s">
        <v>71</v>
      </c>
      <c r="I183" s="22" t="s">
        <v>923</v>
      </c>
      <c r="J183" s="5" t="s">
        <v>270</v>
      </c>
      <c r="K183" s="5" t="s">
        <v>271</v>
      </c>
      <c r="L183" s="5">
        <v>5</v>
      </c>
      <c r="M183" s="5">
        <f>L183*5</f>
        <v>25</v>
      </c>
      <c r="N183" s="10">
        <v>100</v>
      </c>
      <c r="O183" s="19" t="s">
        <v>280</v>
      </c>
      <c r="P183" s="11">
        <v>1.1999999999999999E-3</v>
      </c>
      <c r="Q183" s="6">
        <f>P183*N183</f>
        <v>0.12</v>
      </c>
      <c r="R183" s="5"/>
    </row>
    <row r="184" spans="1:18" x14ac:dyDescent="0.25">
      <c r="A184" s="1"/>
      <c r="B184" s="7">
        <v>44</v>
      </c>
      <c r="C184" s="13" t="s">
        <v>10</v>
      </c>
      <c r="D184" s="10" t="s">
        <v>230</v>
      </c>
      <c r="E184" s="10" t="s">
        <v>231</v>
      </c>
      <c r="F184" s="10" t="s">
        <v>215</v>
      </c>
      <c r="G184" s="10" t="s">
        <v>232</v>
      </c>
      <c r="H184" s="10" t="s">
        <v>71</v>
      </c>
      <c r="I184" s="22" t="s">
        <v>923</v>
      </c>
      <c r="J184" s="10" t="s">
        <v>272</v>
      </c>
      <c r="K184" s="10" t="s">
        <v>273</v>
      </c>
      <c r="L184" s="10">
        <v>1</v>
      </c>
      <c r="M184" s="10">
        <f t="shared" ref="M184" si="145">L184*5</f>
        <v>5</v>
      </c>
      <c r="N184" s="5">
        <v>100</v>
      </c>
      <c r="O184" s="19" t="s">
        <v>280</v>
      </c>
      <c r="P184" s="6">
        <v>2E-3</v>
      </c>
      <c r="Q184" s="11">
        <f t="shared" ref="Q184" si="146">P184*N184</f>
        <v>0.2</v>
      </c>
      <c r="R184" s="10"/>
    </row>
    <row r="185" spans="1:18" x14ac:dyDescent="0.25">
      <c r="A185" s="1"/>
      <c r="B185" s="7">
        <v>45</v>
      </c>
      <c r="C185" s="12" t="s">
        <v>9</v>
      </c>
      <c r="D185" s="5" t="s">
        <v>233</v>
      </c>
      <c r="E185" s="5" t="s">
        <v>234</v>
      </c>
      <c r="F185" s="5" t="s">
        <v>215</v>
      </c>
      <c r="G185" s="5" t="s">
        <v>235</v>
      </c>
      <c r="H185" s="5" t="s">
        <v>71</v>
      </c>
      <c r="I185" s="22" t="s">
        <v>923</v>
      </c>
      <c r="J185" s="5" t="s">
        <v>274</v>
      </c>
      <c r="K185" s="5" t="s">
        <v>275</v>
      </c>
      <c r="L185" s="5">
        <v>1</v>
      </c>
      <c r="M185" s="5">
        <f>L185*5</f>
        <v>5</v>
      </c>
      <c r="N185" s="10">
        <v>20</v>
      </c>
      <c r="O185" s="19" t="s">
        <v>280</v>
      </c>
      <c r="P185" s="11">
        <v>2.4199999999999999E-2</v>
      </c>
      <c r="Q185" s="6">
        <f>P185*N185</f>
        <v>0.48399999999999999</v>
      </c>
      <c r="R185" s="5"/>
    </row>
    <row r="186" spans="1:18" x14ac:dyDescent="0.25">
      <c r="A186" s="1"/>
      <c r="B186" s="7">
        <v>46</v>
      </c>
      <c r="C186" s="13" t="s">
        <v>236</v>
      </c>
      <c r="D186" s="10" t="s">
        <v>237</v>
      </c>
      <c r="E186" s="10" t="s">
        <v>238</v>
      </c>
      <c r="F186" s="5" t="s">
        <v>380</v>
      </c>
      <c r="G186" s="10" t="s">
        <v>239</v>
      </c>
      <c r="H186" s="10" t="s">
        <v>240</v>
      </c>
      <c r="I186" s="22" t="s">
        <v>923</v>
      </c>
      <c r="J186" s="10" t="s">
        <v>276</v>
      </c>
      <c r="K186" s="10" t="s">
        <v>277</v>
      </c>
      <c r="L186" s="10">
        <v>1</v>
      </c>
      <c r="M186" s="10">
        <f t="shared" ref="M186" si="147">L186*5</f>
        <v>5</v>
      </c>
      <c r="N186" s="5">
        <v>10</v>
      </c>
      <c r="O186" s="19" t="s">
        <v>280</v>
      </c>
      <c r="P186" s="6">
        <v>0.30790000000000001</v>
      </c>
      <c r="Q186" s="11">
        <f t="shared" ref="Q186" si="148">P186*N186</f>
        <v>3.0790000000000002</v>
      </c>
      <c r="R186" s="10"/>
    </row>
    <row r="187" spans="1:18" x14ac:dyDescent="0.25">
      <c r="A187" s="1"/>
      <c r="B187" s="7">
        <v>47</v>
      </c>
      <c r="C187" s="12" t="s">
        <v>10</v>
      </c>
      <c r="D187" s="5" t="s">
        <v>241</v>
      </c>
      <c r="E187" s="5" t="s">
        <v>242</v>
      </c>
      <c r="F187" s="5" t="s">
        <v>215</v>
      </c>
      <c r="G187" s="5" t="s">
        <v>243</v>
      </c>
      <c r="H187" s="5" t="s">
        <v>71</v>
      </c>
      <c r="I187" s="22" t="s">
        <v>923</v>
      </c>
      <c r="J187" s="5" t="s">
        <v>278</v>
      </c>
      <c r="K187" s="5" t="s">
        <v>164</v>
      </c>
      <c r="L187" s="5">
        <v>1</v>
      </c>
      <c r="M187" s="5">
        <f>L187*5</f>
        <v>5</v>
      </c>
      <c r="N187" s="10">
        <v>100</v>
      </c>
      <c r="O187" s="19" t="s">
        <v>280</v>
      </c>
      <c r="P187" s="11">
        <v>1E-3</v>
      </c>
      <c r="Q187" s="6">
        <f>P187*N187</f>
        <v>0.1</v>
      </c>
      <c r="R187" s="5"/>
    </row>
    <row r="188" spans="1:18" x14ac:dyDescent="0.25">
      <c r="A188" s="1"/>
      <c r="B188" s="7">
        <v>48</v>
      </c>
      <c r="C188" s="12" t="s">
        <v>10</v>
      </c>
      <c r="D188" s="10" t="s">
        <v>141</v>
      </c>
      <c r="E188" s="10" t="s">
        <v>142</v>
      </c>
      <c r="F188" s="10" t="s">
        <v>49</v>
      </c>
      <c r="G188" s="10" t="s">
        <v>143</v>
      </c>
      <c r="H188" s="10" t="s">
        <v>71</v>
      </c>
      <c r="I188" s="22" t="s">
        <v>923</v>
      </c>
      <c r="J188" s="10" t="s">
        <v>167</v>
      </c>
      <c r="K188" s="10" t="s">
        <v>168</v>
      </c>
      <c r="L188" s="10">
        <v>1</v>
      </c>
      <c r="M188" s="10">
        <f t="shared" ref="M188" si="149">L188*5</f>
        <v>5</v>
      </c>
      <c r="N188" s="10">
        <v>100</v>
      </c>
      <c r="O188" s="19" t="s">
        <v>280</v>
      </c>
      <c r="P188" s="11">
        <v>5.9999999999999995E-4</v>
      </c>
      <c r="Q188" s="11">
        <f t="shared" ref="Q188" si="150">P188*N188</f>
        <v>0.06</v>
      </c>
      <c r="R188" s="10"/>
    </row>
    <row r="189" spans="1:18" x14ac:dyDescent="0.25">
      <c r="A189" s="1"/>
      <c r="B189" s="7">
        <v>49</v>
      </c>
      <c r="C189" s="12" t="s">
        <v>244</v>
      </c>
      <c r="D189" s="5" t="s">
        <v>245</v>
      </c>
      <c r="E189" s="5" t="s">
        <v>246</v>
      </c>
      <c r="F189" s="5" t="s">
        <v>380</v>
      </c>
      <c r="G189" s="5">
        <v>7490220122</v>
      </c>
      <c r="H189" s="5" t="s">
        <v>74</v>
      </c>
      <c r="I189" s="22" t="s">
        <v>923</v>
      </c>
      <c r="J189" s="5" t="s">
        <v>114</v>
      </c>
      <c r="K189" s="5" t="s">
        <v>114</v>
      </c>
      <c r="L189" s="5">
        <v>1</v>
      </c>
      <c r="M189" s="5">
        <f>L189*5</f>
        <v>5</v>
      </c>
      <c r="N189" s="5">
        <v>6</v>
      </c>
      <c r="O189" s="20" t="s">
        <v>925</v>
      </c>
      <c r="P189" s="6">
        <v>10.472</v>
      </c>
      <c r="Q189" s="6">
        <f>P189*N189</f>
        <v>62.831999999999994</v>
      </c>
      <c r="R189" s="5"/>
    </row>
    <row r="190" spans="1:18" x14ac:dyDescent="0.25">
      <c r="A190" s="1"/>
      <c r="B190" s="7">
        <v>50</v>
      </c>
      <c r="C190" s="13" t="s">
        <v>8</v>
      </c>
      <c r="D190" s="10" t="s">
        <v>144</v>
      </c>
      <c r="E190" s="10" t="s">
        <v>145</v>
      </c>
      <c r="F190" s="10" t="s">
        <v>146</v>
      </c>
      <c r="G190" s="10" t="s">
        <v>147</v>
      </c>
      <c r="H190" s="10" t="s">
        <v>148</v>
      </c>
      <c r="I190" s="22" t="s">
        <v>923</v>
      </c>
      <c r="J190" s="10" t="s">
        <v>169</v>
      </c>
      <c r="K190" s="10" t="s">
        <v>114</v>
      </c>
      <c r="L190" s="10">
        <v>1</v>
      </c>
      <c r="M190" s="10">
        <f t="shared" ref="M190" si="151">L190*5</f>
        <v>5</v>
      </c>
      <c r="N190" s="5">
        <v>6</v>
      </c>
      <c r="O190" s="19" t="s">
        <v>280</v>
      </c>
      <c r="P190" s="6">
        <v>2.5442</v>
      </c>
      <c r="Q190" s="11">
        <f t="shared" ref="Q190" si="152">P190*N190</f>
        <v>15.2652</v>
      </c>
      <c r="R190" s="10"/>
    </row>
    <row r="191" spans="1:18" x14ac:dyDescent="0.25">
      <c r="A191" s="1"/>
      <c r="B191" s="7">
        <v>51</v>
      </c>
      <c r="C191" s="12" t="s">
        <v>8</v>
      </c>
      <c r="D191" s="5" t="s">
        <v>19</v>
      </c>
      <c r="E191" s="5" t="s">
        <v>39</v>
      </c>
      <c r="F191" s="5" t="s">
        <v>51</v>
      </c>
      <c r="G191" s="5" t="s">
        <v>69</v>
      </c>
      <c r="H191" s="5" t="s">
        <v>76</v>
      </c>
      <c r="I191" s="22" t="s">
        <v>923</v>
      </c>
      <c r="J191" s="5" t="s">
        <v>114</v>
      </c>
      <c r="K191" s="5" t="s">
        <v>114</v>
      </c>
      <c r="L191" s="5">
        <v>1</v>
      </c>
      <c r="M191" s="5">
        <f>L191*5</f>
        <v>5</v>
      </c>
      <c r="N191" s="5">
        <v>6</v>
      </c>
      <c r="O191" s="20" t="s">
        <v>926</v>
      </c>
      <c r="P191" s="6">
        <v>9.81</v>
      </c>
      <c r="Q191" s="6">
        <f>P191*N191</f>
        <v>58.86</v>
      </c>
      <c r="R191" s="5"/>
    </row>
    <row r="192" spans="1:18" x14ac:dyDescent="0.25">
      <c r="A192" s="1"/>
      <c r="B192" s="7">
        <v>52</v>
      </c>
      <c r="C192" s="13" t="s">
        <v>8</v>
      </c>
      <c r="D192" s="10" t="s">
        <v>247</v>
      </c>
      <c r="E192" s="10" t="s">
        <v>248</v>
      </c>
      <c r="F192" s="10" t="s">
        <v>249</v>
      </c>
      <c r="G192" s="10" t="s">
        <v>250</v>
      </c>
      <c r="H192" s="10" t="s">
        <v>76</v>
      </c>
      <c r="I192" s="22" t="s">
        <v>923</v>
      </c>
      <c r="J192" s="10" t="s">
        <v>279</v>
      </c>
      <c r="K192" s="10" t="s">
        <v>114</v>
      </c>
      <c r="L192" s="10">
        <v>1</v>
      </c>
      <c r="M192" s="10">
        <f t="shared" ref="M192" si="153">L192*5</f>
        <v>5</v>
      </c>
      <c r="N192" s="5">
        <v>6</v>
      </c>
      <c r="O192" s="19" t="s">
        <v>280</v>
      </c>
      <c r="P192" s="6">
        <v>2.9321000000000002</v>
      </c>
      <c r="Q192" s="11">
        <f t="shared" ref="Q192" si="154">P192*N192</f>
        <v>17.592600000000001</v>
      </c>
      <c r="R192" s="10"/>
    </row>
    <row r="193" spans="1:18" ht="15.75" thickBot="1" x14ac:dyDescent="0.3">
      <c r="A193" s="1"/>
      <c r="B193" s="7">
        <v>53</v>
      </c>
      <c r="C193" s="12" t="s">
        <v>149</v>
      </c>
      <c r="D193" s="5" t="s">
        <v>150</v>
      </c>
      <c r="E193" s="5" t="s">
        <v>151</v>
      </c>
      <c r="F193" s="5" t="s">
        <v>380</v>
      </c>
      <c r="G193" s="5" t="s">
        <v>152</v>
      </c>
      <c r="H193" s="5" t="s">
        <v>153</v>
      </c>
      <c r="I193" s="22" t="s">
        <v>923</v>
      </c>
      <c r="J193" s="5" t="s">
        <v>170</v>
      </c>
      <c r="K193" s="5" t="s">
        <v>171</v>
      </c>
      <c r="L193" s="5">
        <v>1</v>
      </c>
      <c r="M193" s="5">
        <f>L193*5</f>
        <v>5</v>
      </c>
      <c r="N193" s="5">
        <v>10</v>
      </c>
      <c r="O193" s="19" t="s">
        <v>280</v>
      </c>
      <c r="P193" s="6">
        <v>0.25950000000000001</v>
      </c>
      <c r="Q193" s="6">
        <f>P193*N193</f>
        <v>2.5950000000000002</v>
      </c>
      <c r="R193" s="5"/>
    </row>
    <row r="194" spans="1:18" ht="19.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3" t="s">
        <v>1</v>
      </c>
      <c r="O194" s="24"/>
      <c r="P194" s="24"/>
      <c r="Q194" s="8">
        <f>SUM(Q143:Q193)</f>
        <v>325.61250000000001</v>
      </c>
      <c r="R194" s="1"/>
    </row>
    <row r="195" spans="1:18" ht="19.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3" t="s">
        <v>2</v>
      </c>
      <c r="O195" s="24"/>
      <c r="P195" s="24"/>
      <c r="Q195" s="9">
        <f>Q194/5</f>
        <v>65.122500000000002</v>
      </c>
      <c r="R195" s="1"/>
    </row>
    <row r="196" spans="1:18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</row>
    <row r="197" spans="1:18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26.25" x14ac:dyDescent="0.25">
      <c r="A198" s="1"/>
      <c r="B198" s="2"/>
      <c r="C198" s="2"/>
      <c r="D198" s="17"/>
      <c r="E198" s="17"/>
      <c r="F198" s="17"/>
      <c r="G198" s="25" t="s">
        <v>903</v>
      </c>
      <c r="H198" s="25"/>
      <c r="I198" s="25"/>
      <c r="J198" s="17"/>
      <c r="K198" s="18"/>
      <c r="L198" s="18"/>
      <c r="M198" s="18"/>
      <c r="N198" s="18"/>
      <c r="O198" s="18"/>
      <c r="P198" s="18"/>
      <c r="Q198" s="18"/>
      <c r="R198" s="18"/>
    </row>
    <row r="199" spans="1:18" ht="15.75" thickBot="1" x14ac:dyDescent="0.3">
      <c r="A199" s="1"/>
      <c r="B199" s="2"/>
      <c r="C199" s="2"/>
      <c r="D199" s="17"/>
      <c r="E199" s="17"/>
      <c r="F199" s="17"/>
      <c r="G199" s="17"/>
      <c r="H199" s="17"/>
      <c r="I199" s="17"/>
      <c r="J199" s="17"/>
      <c r="K199" s="18"/>
      <c r="L199" s="18"/>
      <c r="M199" s="18"/>
      <c r="N199" s="18"/>
      <c r="O199" s="18"/>
      <c r="P199" s="18"/>
      <c r="Q199" s="18"/>
      <c r="R199" s="18"/>
    </row>
    <row r="200" spans="1:18" ht="15.75" thickBot="1" x14ac:dyDescent="0.3">
      <c r="A200" s="1"/>
      <c r="B200" s="4" t="s">
        <v>0</v>
      </c>
      <c r="C200" s="4" t="s">
        <v>3</v>
      </c>
      <c r="D200" s="4" t="s">
        <v>11</v>
      </c>
      <c r="E200" s="4" t="s">
        <v>20</v>
      </c>
      <c r="F200" s="4" t="s">
        <v>40</v>
      </c>
      <c r="G200" s="4" t="s">
        <v>52</v>
      </c>
      <c r="H200" s="4" t="s">
        <v>70</v>
      </c>
      <c r="I200" s="4" t="s">
        <v>116</v>
      </c>
      <c r="J200" s="4" t="s">
        <v>78</v>
      </c>
      <c r="K200" s="4" t="s">
        <v>108</v>
      </c>
      <c r="L200" s="4" t="s">
        <v>106</v>
      </c>
      <c r="M200" s="4" t="s">
        <v>107</v>
      </c>
      <c r="N200" s="4" t="s">
        <v>109</v>
      </c>
      <c r="O200" s="4" t="s">
        <v>110</v>
      </c>
      <c r="P200" s="4" t="s">
        <v>111</v>
      </c>
      <c r="Q200" s="4" t="s">
        <v>112</v>
      </c>
      <c r="R200" s="4" t="s">
        <v>113</v>
      </c>
    </row>
    <row r="201" spans="1:18" ht="48" x14ac:dyDescent="0.25">
      <c r="A201" s="1"/>
      <c r="B201" s="7">
        <v>1</v>
      </c>
      <c r="C201" s="13" t="s">
        <v>4</v>
      </c>
      <c r="D201" s="5" t="s">
        <v>750</v>
      </c>
      <c r="E201" s="5" t="s">
        <v>386</v>
      </c>
      <c r="F201" s="5" t="s">
        <v>387</v>
      </c>
      <c r="G201" s="5" t="s">
        <v>388</v>
      </c>
      <c r="H201" s="5" t="s">
        <v>71</v>
      </c>
      <c r="I201" s="22" t="s">
        <v>923</v>
      </c>
      <c r="J201" s="5" t="s">
        <v>389</v>
      </c>
      <c r="K201" s="5" t="s">
        <v>96</v>
      </c>
      <c r="L201" s="5">
        <v>21</v>
      </c>
      <c r="M201" s="5">
        <f>L201*5</f>
        <v>105</v>
      </c>
      <c r="N201" s="5">
        <v>200</v>
      </c>
      <c r="O201" s="19" t="s">
        <v>280</v>
      </c>
      <c r="P201" s="6">
        <v>1.1000000000000001E-3</v>
      </c>
      <c r="Q201" s="6">
        <f>P201*N201</f>
        <v>0.22</v>
      </c>
      <c r="R201" s="5"/>
    </row>
    <row r="202" spans="1:18" x14ac:dyDescent="0.25">
      <c r="A202" s="1"/>
      <c r="B202" s="7">
        <v>2</v>
      </c>
      <c r="C202" s="13" t="s">
        <v>4</v>
      </c>
      <c r="D202" s="10" t="s">
        <v>751</v>
      </c>
      <c r="E202" s="10" t="s">
        <v>752</v>
      </c>
      <c r="F202" s="10" t="s">
        <v>753</v>
      </c>
      <c r="G202" s="10" t="s">
        <v>754</v>
      </c>
      <c r="H202" s="10" t="s">
        <v>71</v>
      </c>
      <c r="I202" s="22" t="s">
        <v>923</v>
      </c>
      <c r="J202" s="10" t="s">
        <v>755</v>
      </c>
      <c r="K202" s="10" t="s">
        <v>98</v>
      </c>
      <c r="L202" s="10">
        <v>2</v>
      </c>
      <c r="M202" s="10">
        <f t="shared" ref="M202" si="155">L202*5</f>
        <v>10</v>
      </c>
      <c r="N202" s="10">
        <v>100</v>
      </c>
      <c r="O202" s="19" t="s">
        <v>280</v>
      </c>
      <c r="P202" s="11">
        <v>3.8999999999999998E-3</v>
      </c>
      <c r="Q202" s="11">
        <f t="shared" ref="Q202" si="156">P202*N202</f>
        <v>0.38999999999999996</v>
      </c>
      <c r="R202" s="10"/>
    </row>
    <row r="203" spans="1:18" x14ac:dyDescent="0.25">
      <c r="A203" s="1"/>
      <c r="B203" s="7">
        <v>3</v>
      </c>
      <c r="C203" s="12" t="s">
        <v>4</v>
      </c>
      <c r="D203" s="5" t="s">
        <v>756</v>
      </c>
      <c r="E203" s="5" t="s">
        <v>757</v>
      </c>
      <c r="F203" s="5" t="s">
        <v>42</v>
      </c>
      <c r="G203" s="5" t="s">
        <v>758</v>
      </c>
      <c r="H203" s="5" t="s">
        <v>71</v>
      </c>
      <c r="I203" s="22" t="s">
        <v>923</v>
      </c>
      <c r="J203" s="5" t="s">
        <v>759</v>
      </c>
      <c r="K203" s="5" t="s">
        <v>98</v>
      </c>
      <c r="L203" s="5">
        <v>1</v>
      </c>
      <c r="M203" s="5">
        <f>L203*5</f>
        <v>5</v>
      </c>
      <c r="N203" s="5">
        <v>100</v>
      </c>
      <c r="O203" s="19" t="s">
        <v>280</v>
      </c>
      <c r="P203" s="6">
        <v>5.1999999999999998E-3</v>
      </c>
      <c r="Q203" s="6">
        <f>P203*N203</f>
        <v>0.52</v>
      </c>
      <c r="R203" s="5"/>
    </row>
    <row r="204" spans="1:18" x14ac:dyDescent="0.25">
      <c r="A204" s="1"/>
      <c r="B204" s="7">
        <v>4</v>
      </c>
      <c r="C204" s="13" t="s">
        <v>4</v>
      </c>
      <c r="D204" s="10" t="s">
        <v>760</v>
      </c>
      <c r="E204" s="10" t="s">
        <v>284</v>
      </c>
      <c r="F204" s="10" t="s">
        <v>42</v>
      </c>
      <c r="G204" s="10" t="s">
        <v>285</v>
      </c>
      <c r="H204" s="10" t="s">
        <v>71</v>
      </c>
      <c r="I204" s="22" t="s">
        <v>923</v>
      </c>
      <c r="J204" s="10" t="s">
        <v>286</v>
      </c>
      <c r="K204" s="10" t="s">
        <v>287</v>
      </c>
      <c r="L204" s="10">
        <v>4</v>
      </c>
      <c r="M204" s="10">
        <f t="shared" ref="M204" si="157">L204*5</f>
        <v>20</v>
      </c>
      <c r="N204" s="5">
        <v>40</v>
      </c>
      <c r="O204" s="20" t="s">
        <v>280</v>
      </c>
      <c r="P204" s="6">
        <v>2.7099999999999999E-2</v>
      </c>
      <c r="Q204" s="11">
        <f t="shared" ref="Q204" si="158">P204*N204</f>
        <v>1.0840000000000001</v>
      </c>
      <c r="R204" s="10"/>
    </row>
    <row r="205" spans="1:18" x14ac:dyDescent="0.25">
      <c r="A205" s="1"/>
      <c r="B205" s="7">
        <v>5</v>
      </c>
      <c r="C205" s="12" t="s">
        <v>4</v>
      </c>
      <c r="D205" s="5" t="s">
        <v>761</v>
      </c>
      <c r="E205" s="5" t="s">
        <v>294</v>
      </c>
      <c r="F205" s="5" t="s">
        <v>43</v>
      </c>
      <c r="G205" s="5" t="s">
        <v>295</v>
      </c>
      <c r="H205" s="5" t="s">
        <v>71</v>
      </c>
      <c r="I205" s="22" t="s">
        <v>923</v>
      </c>
      <c r="J205" s="5" t="s">
        <v>296</v>
      </c>
      <c r="K205" s="5" t="s">
        <v>98</v>
      </c>
      <c r="L205" s="5">
        <v>6</v>
      </c>
      <c r="M205" s="5">
        <f>L205*5</f>
        <v>30</v>
      </c>
      <c r="N205" s="5">
        <v>100</v>
      </c>
      <c r="O205" s="19" t="s">
        <v>280</v>
      </c>
      <c r="P205" s="6">
        <v>2.5999999999999999E-3</v>
      </c>
      <c r="Q205" s="6">
        <f>P205*N205</f>
        <v>0.26</v>
      </c>
      <c r="R205" s="5"/>
    </row>
    <row r="206" spans="1:18" x14ac:dyDescent="0.25">
      <c r="A206" s="1"/>
      <c r="B206" s="7">
        <v>6</v>
      </c>
      <c r="C206" s="13" t="s">
        <v>4</v>
      </c>
      <c r="D206" s="10" t="s">
        <v>762</v>
      </c>
      <c r="E206" s="10" t="s">
        <v>25</v>
      </c>
      <c r="F206" s="10" t="s">
        <v>43</v>
      </c>
      <c r="G206" s="10" t="s">
        <v>57</v>
      </c>
      <c r="H206" s="10" t="s">
        <v>71</v>
      </c>
      <c r="I206" s="22" t="s">
        <v>923</v>
      </c>
      <c r="J206" s="10" t="s">
        <v>83</v>
      </c>
      <c r="K206" s="10" t="s">
        <v>96</v>
      </c>
      <c r="L206" s="10">
        <v>4</v>
      </c>
      <c r="M206" s="10">
        <f t="shared" ref="M206" si="159">L206*5</f>
        <v>20</v>
      </c>
      <c r="N206" s="5">
        <v>100</v>
      </c>
      <c r="O206" s="19" t="s">
        <v>280</v>
      </c>
      <c r="P206" s="6">
        <v>1E-3</v>
      </c>
      <c r="Q206" s="11">
        <f t="shared" ref="Q206" si="160">P206*N206</f>
        <v>0.1</v>
      </c>
      <c r="R206" s="10"/>
    </row>
    <row r="207" spans="1:18" x14ac:dyDescent="0.25">
      <c r="A207" s="1"/>
      <c r="B207" s="7">
        <v>7</v>
      </c>
      <c r="C207" s="12" t="s">
        <v>4</v>
      </c>
      <c r="D207" s="5" t="s">
        <v>763</v>
      </c>
      <c r="E207" s="5" t="s">
        <v>764</v>
      </c>
      <c r="F207" s="5" t="s">
        <v>42</v>
      </c>
      <c r="G207" s="5" t="s">
        <v>765</v>
      </c>
      <c r="H207" s="5" t="s">
        <v>71</v>
      </c>
      <c r="I207" s="10" t="s">
        <v>904</v>
      </c>
      <c r="J207" s="10" t="s">
        <v>905</v>
      </c>
      <c r="K207" s="5" t="s">
        <v>292</v>
      </c>
      <c r="L207" s="5">
        <v>1</v>
      </c>
      <c r="M207" s="5">
        <f>L207*5</f>
        <v>5</v>
      </c>
      <c r="N207" s="10">
        <v>50</v>
      </c>
      <c r="O207" s="19" t="s">
        <v>280</v>
      </c>
      <c r="P207" s="11">
        <v>1.2800000000000001E-2</v>
      </c>
      <c r="Q207" s="6">
        <f>P207*N207</f>
        <v>0.64</v>
      </c>
      <c r="R207" s="5"/>
    </row>
    <row r="208" spans="1:18" x14ac:dyDescent="0.25">
      <c r="A208" s="1"/>
      <c r="B208" s="7">
        <v>8</v>
      </c>
      <c r="C208" s="13" t="s">
        <v>4</v>
      </c>
      <c r="D208" s="10" t="s">
        <v>766</v>
      </c>
      <c r="E208" s="10" t="s">
        <v>767</v>
      </c>
      <c r="F208" s="10" t="s">
        <v>41</v>
      </c>
      <c r="G208" s="10" t="s">
        <v>768</v>
      </c>
      <c r="H208" s="10" t="s">
        <v>400</v>
      </c>
      <c r="I208" s="22" t="s">
        <v>923</v>
      </c>
      <c r="J208" s="10" t="s">
        <v>769</v>
      </c>
      <c r="K208" s="10" t="s">
        <v>770</v>
      </c>
      <c r="L208" s="10">
        <v>2</v>
      </c>
      <c r="M208" s="10">
        <f t="shared" ref="M208" si="161">L208*5</f>
        <v>10</v>
      </c>
      <c r="N208" s="5">
        <v>15</v>
      </c>
      <c r="O208" s="19" t="s">
        <v>280</v>
      </c>
      <c r="P208" s="6">
        <v>0.28389999999999999</v>
      </c>
      <c r="Q208" s="11">
        <f t="shared" ref="Q208" si="162">P208*N208</f>
        <v>4.2584999999999997</v>
      </c>
      <c r="R208" s="10"/>
    </row>
    <row r="209" spans="1:18" x14ac:dyDescent="0.25">
      <c r="A209" s="1"/>
      <c r="B209" s="7">
        <v>9</v>
      </c>
      <c r="C209" s="12" t="s">
        <v>5</v>
      </c>
      <c r="D209" s="5" t="s">
        <v>771</v>
      </c>
      <c r="E209" s="5" t="s">
        <v>772</v>
      </c>
      <c r="F209" s="5" t="s">
        <v>121</v>
      </c>
      <c r="G209" s="5" t="s">
        <v>773</v>
      </c>
      <c r="H209" s="5" t="s">
        <v>72</v>
      </c>
      <c r="I209" s="22" t="s">
        <v>923</v>
      </c>
      <c r="J209" s="5" t="s">
        <v>774</v>
      </c>
      <c r="K209" s="5" t="s">
        <v>114</v>
      </c>
      <c r="L209" s="5">
        <v>2</v>
      </c>
      <c r="M209" s="5">
        <f>L209*5</f>
        <v>10</v>
      </c>
      <c r="N209" s="10">
        <v>20</v>
      </c>
      <c r="O209" s="19" t="s">
        <v>280</v>
      </c>
      <c r="P209" s="11">
        <v>2.81E-2</v>
      </c>
      <c r="Q209" s="6">
        <f>P209*N209</f>
        <v>0.56200000000000006</v>
      </c>
      <c r="R209" s="5"/>
    </row>
    <row r="210" spans="1:18" ht="24" x14ac:dyDescent="0.25">
      <c r="A210" s="1"/>
      <c r="B210" s="7">
        <v>10</v>
      </c>
      <c r="C210" s="12" t="s">
        <v>5</v>
      </c>
      <c r="D210" s="10" t="s">
        <v>775</v>
      </c>
      <c r="E210" s="10" t="s">
        <v>314</v>
      </c>
      <c r="F210" s="10" t="s">
        <v>315</v>
      </c>
      <c r="G210" s="10" t="s">
        <v>316</v>
      </c>
      <c r="H210" s="10" t="s">
        <v>73</v>
      </c>
      <c r="I210" s="22" t="s">
        <v>923</v>
      </c>
      <c r="J210" s="10" t="s">
        <v>317</v>
      </c>
      <c r="K210" s="5" t="s">
        <v>114</v>
      </c>
      <c r="L210" s="10">
        <v>6</v>
      </c>
      <c r="M210" s="10">
        <f t="shared" ref="M210" si="163">L210*5</f>
        <v>30</v>
      </c>
      <c r="N210" s="10">
        <v>50</v>
      </c>
      <c r="O210" s="19" t="s">
        <v>280</v>
      </c>
      <c r="P210" s="11">
        <v>8.9999999999999993E-3</v>
      </c>
      <c r="Q210" s="11">
        <f t="shared" ref="Q210" si="164">P210*N210</f>
        <v>0.44999999999999996</v>
      </c>
      <c r="R210" s="10"/>
    </row>
    <row r="211" spans="1:18" ht="24" x14ac:dyDescent="0.25">
      <c r="A211" s="1"/>
      <c r="B211" s="7">
        <v>11</v>
      </c>
      <c r="C211" s="12" t="s">
        <v>5</v>
      </c>
      <c r="D211" s="5" t="s">
        <v>776</v>
      </c>
      <c r="E211" s="5" t="s">
        <v>777</v>
      </c>
      <c r="F211" s="5" t="s">
        <v>778</v>
      </c>
      <c r="G211" s="5" t="s">
        <v>779</v>
      </c>
      <c r="H211" s="5" t="s">
        <v>780</v>
      </c>
      <c r="I211" s="22" t="s">
        <v>923</v>
      </c>
      <c r="J211" s="5" t="s">
        <v>781</v>
      </c>
      <c r="K211" s="5" t="s">
        <v>114</v>
      </c>
      <c r="L211" s="5">
        <v>2</v>
      </c>
      <c r="M211" s="5">
        <f>L211*5</f>
        <v>10</v>
      </c>
      <c r="N211" s="5">
        <v>20</v>
      </c>
      <c r="O211" s="19" t="s">
        <v>280</v>
      </c>
      <c r="P211" s="6">
        <v>8.5300000000000001E-2</v>
      </c>
      <c r="Q211" s="6">
        <f>P211*N211</f>
        <v>1.706</v>
      </c>
      <c r="R211" s="5"/>
    </row>
    <row r="212" spans="1:18" ht="24" x14ac:dyDescent="0.25">
      <c r="A212" s="1"/>
      <c r="B212" s="7">
        <v>12</v>
      </c>
      <c r="C212" s="13" t="s">
        <v>782</v>
      </c>
      <c r="D212" s="10" t="s">
        <v>783</v>
      </c>
      <c r="E212" s="10" t="s">
        <v>784</v>
      </c>
      <c r="F212" s="10" t="s">
        <v>45</v>
      </c>
      <c r="G212" s="10" t="s">
        <v>785</v>
      </c>
      <c r="H212" s="10" t="s">
        <v>73</v>
      </c>
      <c r="I212" s="22" t="s">
        <v>923</v>
      </c>
      <c r="J212" s="10" t="s">
        <v>786</v>
      </c>
      <c r="K212" s="5" t="s">
        <v>114</v>
      </c>
      <c r="L212" s="10">
        <v>2</v>
      </c>
      <c r="M212" s="10">
        <f t="shared" ref="M212" si="165">L212*5</f>
        <v>10</v>
      </c>
      <c r="N212" s="10">
        <v>50</v>
      </c>
      <c r="O212" s="19" t="s">
        <v>280</v>
      </c>
      <c r="P212" s="11">
        <v>1.7100000000000001E-2</v>
      </c>
      <c r="Q212" s="11">
        <f t="shared" ref="Q212" si="166">P212*N212</f>
        <v>0.85499999999999998</v>
      </c>
      <c r="R212" s="10"/>
    </row>
    <row r="213" spans="1:18" x14ac:dyDescent="0.25">
      <c r="A213" s="1"/>
      <c r="B213" s="7">
        <v>13</v>
      </c>
      <c r="C213" s="12" t="s">
        <v>6</v>
      </c>
      <c r="D213" s="5" t="s">
        <v>787</v>
      </c>
      <c r="E213" s="5" t="s">
        <v>788</v>
      </c>
      <c r="F213" s="5" t="s">
        <v>46</v>
      </c>
      <c r="G213" s="5" t="s">
        <v>789</v>
      </c>
      <c r="H213" s="5" t="s">
        <v>400</v>
      </c>
      <c r="I213" s="22" t="s">
        <v>923</v>
      </c>
      <c r="J213" s="5" t="s">
        <v>790</v>
      </c>
      <c r="K213" s="5" t="s">
        <v>114</v>
      </c>
      <c r="L213" s="5">
        <v>1</v>
      </c>
      <c r="M213" s="5">
        <f>L213*5</f>
        <v>5</v>
      </c>
      <c r="N213" s="10">
        <v>100</v>
      </c>
      <c r="O213" s="19" t="s">
        <v>280</v>
      </c>
      <c r="P213" s="11">
        <v>7.1999999999999998E-3</v>
      </c>
      <c r="Q213" s="6">
        <f>P213*N213</f>
        <v>0.72</v>
      </c>
      <c r="R213" s="5"/>
    </row>
    <row r="214" spans="1:18" x14ac:dyDescent="0.25">
      <c r="A214" s="1"/>
      <c r="B214" s="7">
        <v>14</v>
      </c>
      <c r="C214" s="13" t="s">
        <v>6</v>
      </c>
      <c r="D214" s="10" t="s">
        <v>791</v>
      </c>
      <c r="E214" s="10" t="s">
        <v>792</v>
      </c>
      <c r="F214" s="10" t="s">
        <v>793</v>
      </c>
      <c r="G214" s="10" t="s">
        <v>794</v>
      </c>
      <c r="H214" s="10" t="s">
        <v>400</v>
      </c>
      <c r="I214" s="22" t="s">
        <v>923</v>
      </c>
      <c r="J214" s="10" t="s">
        <v>795</v>
      </c>
      <c r="K214" s="5" t="s">
        <v>114</v>
      </c>
      <c r="L214" s="10">
        <v>2</v>
      </c>
      <c r="M214" s="10">
        <f t="shared" ref="M214" si="167">L214*5</f>
        <v>10</v>
      </c>
      <c r="N214" s="10">
        <v>15</v>
      </c>
      <c r="O214" s="19" t="s">
        <v>280</v>
      </c>
      <c r="P214" s="11">
        <v>0.1769</v>
      </c>
      <c r="Q214" s="11">
        <f t="shared" ref="Q214" si="168">P214*N214</f>
        <v>2.6535000000000002</v>
      </c>
      <c r="R214" s="10"/>
    </row>
    <row r="215" spans="1:18" ht="36" x14ac:dyDescent="0.25">
      <c r="A215" s="1"/>
      <c r="B215" s="7">
        <v>15</v>
      </c>
      <c r="C215" s="12" t="s">
        <v>796</v>
      </c>
      <c r="D215" s="5" t="s">
        <v>797</v>
      </c>
      <c r="E215" s="5" t="s">
        <v>798</v>
      </c>
      <c r="F215" s="5" t="s">
        <v>380</v>
      </c>
      <c r="G215" s="5" t="s">
        <v>799</v>
      </c>
      <c r="H215" s="5" t="s">
        <v>800</v>
      </c>
      <c r="I215" s="22" t="s">
        <v>923</v>
      </c>
      <c r="J215" s="5" t="s">
        <v>801</v>
      </c>
      <c r="K215" s="5" t="s">
        <v>114</v>
      </c>
      <c r="L215" s="5">
        <v>1</v>
      </c>
      <c r="M215" s="5">
        <f>L215*5</f>
        <v>5</v>
      </c>
      <c r="N215" s="10">
        <v>50</v>
      </c>
      <c r="O215" s="19" t="s">
        <v>280</v>
      </c>
      <c r="P215" s="11">
        <v>1.29E-2</v>
      </c>
      <c r="Q215" s="6">
        <f>P215*N215</f>
        <v>0.64500000000000002</v>
      </c>
      <c r="R215" s="5"/>
    </row>
    <row r="216" spans="1:18" ht="48" x14ac:dyDescent="0.25">
      <c r="A216" s="1"/>
      <c r="B216" s="7">
        <v>16</v>
      </c>
      <c r="C216" s="13" t="s">
        <v>802</v>
      </c>
      <c r="D216" s="10" t="s">
        <v>803</v>
      </c>
      <c r="E216" s="10" t="s">
        <v>804</v>
      </c>
      <c r="F216" s="5" t="s">
        <v>380</v>
      </c>
      <c r="G216" s="10" t="s">
        <v>805</v>
      </c>
      <c r="H216" s="10" t="s">
        <v>800</v>
      </c>
      <c r="I216" s="22" t="s">
        <v>923</v>
      </c>
      <c r="J216" s="10" t="s">
        <v>806</v>
      </c>
      <c r="K216" s="5" t="s">
        <v>114</v>
      </c>
      <c r="L216" s="10">
        <v>1</v>
      </c>
      <c r="M216" s="10">
        <f t="shared" ref="M216" si="169">L216*5</f>
        <v>5</v>
      </c>
      <c r="N216" s="5">
        <v>50</v>
      </c>
      <c r="O216" s="19" t="s">
        <v>280</v>
      </c>
      <c r="P216" s="6">
        <v>1.6899999999999998E-2</v>
      </c>
      <c r="Q216" s="11">
        <f t="shared" ref="Q216" si="170">P216*N216</f>
        <v>0.84499999999999997</v>
      </c>
      <c r="R216" s="10"/>
    </row>
    <row r="217" spans="1:18" x14ac:dyDescent="0.25">
      <c r="A217" s="1"/>
      <c r="B217" s="7">
        <v>17</v>
      </c>
      <c r="C217" s="12" t="s">
        <v>807</v>
      </c>
      <c r="D217" s="5" t="s">
        <v>808</v>
      </c>
      <c r="E217" s="5" t="s">
        <v>809</v>
      </c>
      <c r="F217" s="5" t="s">
        <v>380</v>
      </c>
      <c r="G217" s="5" t="s">
        <v>810</v>
      </c>
      <c r="H217" s="5" t="s">
        <v>811</v>
      </c>
      <c r="I217" s="22" t="s">
        <v>923</v>
      </c>
      <c r="J217" s="5" t="s">
        <v>812</v>
      </c>
      <c r="K217" s="5" t="s">
        <v>114</v>
      </c>
      <c r="L217" s="5">
        <v>2</v>
      </c>
      <c r="M217" s="5">
        <f>L217*5</f>
        <v>10</v>
      </c>
      <c r="N217" s="10">
        <v>11</v>
      </c>
      <c r="O217" s="19" t="s">
        <v>280</v>
      </c>
      <c r="P217" s="11">
        <v>0.46650000000000003</v>
      </c>
      <c r="Q217" s="6">
        <f>P217*N217</f>
        <v>5.1315</v>
      </c>
      <c r="R217" s="5"/>
    </row>
    <row r="218" spans="1:18" x14ac:dyDescent="0.25">
      <c r="A218" s="1"/>
      <c r="B218" s="7">
        <v>18</v>
      </c>
      <c r="C218" s="13" t="s">
        <v>813</v>
      </c>
      <c r="D218" s="10" t="s">
        <v>814</v>
      </c>
      <c r="E218" s="10" t="s">
        <v>815</v>
      </c>
      <c r="F218" s="5" t="s">
        <v>380</v>
      </c>
      <c r="G218" s="10" t="s">
        <v>816</v>
      </c>
      <c r="H218" s="10" t="s">
        <v>811</v>
      </c>
      <c r="I218" s="22" t="s">
        <v>923</v>
      </c>
      <c r="J218" s="10" t="s">
        <v>817</v>
      </c>
      <c r="K218" s="5" t="s">
        <v>114</v>
      </c>
      <c r="L218" s="10">
        <v>1</v>
      </c>
      <c r="M218" s="10">
        <f t="shared" ref="M218" si="171">L218*5</f>
        <v>5</v>
      </c>
      <c r="N218" s="5">
        <v>10</v>
      </c>
      <c r="O218" s="19" t="s">
        <v>280</v>
      </c>
      <c r="P218" s="6">
        <v>0.29670000000000002</v>
      </c>
      <c r="Q218" s="11">
        <f t="shared" ref="Q218" si="172">P218*N218</f>
        <v>2.9670000000000001</v>
      </c>
      <c r="R218" s="10"/>
    </row>
    <row r="219" spans="1:18" x14ac:dyDescent="0.25">
      <c r="A219" s="1"/>
      <c r="B219" s="7">
        <v>19</v>
      </c>
      <c r="C219" s="12" t="s">
        <v>802</v>
      </c>
      <c r="D219" s="5" t="s">
        <v>818</v>
      </c>
      <c r="E219" s="5" t="s">
        <v>819</v>
      </c>
      <c r="F219" s="5" t="s">
        <v>380</v>
      </c>
      <c r="G219" s="5" t="s">
        <v>820</v>
      </c>
      <c r="H219" s="5" t="s">
        <v>821</v>
      </c>
      <c r="I219" s="22" t="s">
        <v>923</v>
      </c>
      <c r="J219" s="5" t="s">
        <v>822</v>
      </c>
      <c r="K219" s="5" t="s">
        <v>114</v>
      </c>
      <c r="L219" s="5">
        <v>1</v>
      </c>
      <c r="M219" s="5">
        <f>L219*5</f>
        <v>5</v>
      </c>
      <c r="N219" s="10">
        <v>10</v>
      </c>
      <c r="O219" s="19" t="s">
        <v>280</v>
      </c>
      <c r="P219" s="11">
        <v>0.34749999999999998</v>
      </c>
      <c r="Q219" s="6">
        <f>P219*N219</f>
        <v>3.4749999999999996</v>
      </c>
      <c r="R219" s="5"/>
    </row>
    <row r="220" spans="1:18" x14ac:dyDescent="0.25">
      <c r="A220" s="1"/>
      <c r="B220" s="7">
        <v>20</v>
      </c>
      <c r="C220" s="13" t="s">
        <v>823</v>
      </c>
      <c r="D220" s="10" t="s">
        <v>824</v>
      </c>
      <c r="E220" s="10" t="s">
        <v>825</v>
      </c>
      <c r="F220" s="5" t="s">
        <v>380</v>
      </c>
      <c r="G220" s="10" t="s">
        <v>826</v>
      </c>
      <c r="H220" s="10" t="s">
        <v>821</v>
      </c>
      <c r="I220" s="22" t="s">
        <v>923</v>
      </c>
      <c r="J220" s="10" t="s">
        <v>827</v>
      </c>
      <c r="K220" s="5" t="s">
        <v>114</v>
      </c>
      <c r="L220" s="10">
        <v>1</v>
      </c>
      <c r="M220" s="10">
        <f t="shared" ref="M220" si="173">L220*5</f>
        <v>5</v>
      </c>
      <c r="N220" s="5">
        <v>10</v>
      </c>
      <c r="O220" s="19" t="s">
        <v>280</v>
      </c>
      <c r="P220" s="6">
        <v>0.23949999999999999</v>
      </c>
      <c r="Q220" s="11">
        <f t="shared" ref="Q220" si="174">P220*N220</f>
        <v>2.395</v>
      </c>
      <c r="R220" s="10"/>
    </row>
    <row r="221" spans="1:18" x14ac:dyDescent="0.25">
      <c r="A221" s="1"/>
      <c r="B221" s="7">
        <v>21</v>
      </c>
      <c r="C221" s="12" t="s">
        <v>828</v>
      </c>
      <c r="D221" s="5" t="s">
        <v>829</v>
      </c>
      <c r="E221" s="5" t="s">
        <v>830</v>
      </c>
      <c r="F221" s="5" t="s">
        <v>380</v>
      </c>
      <c r="G221" s="5" t="s">
        <v>831</v>
      </c>
      <c r="H221" s="5" t="s">
        <v>832</v>
      </c>
      <c r="I221" s="22" t="s">
        <v>923</v>
      </c>
      <c r="J221" s="5" t="s">
        <v>833</v>
      </c>
      <c r="K221" s="5" t="s">
        <v>114</v>
      </c>
      <c r="L221" s="5">
        <v>1</v>
      </c>
      <c r="M221" s="5">
        <f>L221*5</f>
        <v>5</v>
      </c>
      <c r="N221" s="10">
        <v>10</v>
      </c>
      <c r="O221" s="19" t="s">
        <v>280</v>
      </c>
      <c r="P221" s="11">
        <v>0.1905</v>
      </c>
      <c r="Q221" s="6">
        <f>P221*N221</f>
        <v>1.905</v>
      </c>
      <c r="R221" s="5"/>
    </row>
    <row r="222" spans="1:18" ht="48" x14ac:dyDescent="0.25">
      <c r="A222" s="1"/>
      <c r="B222" s="7">
        <v>22</v>
      </c>
      <c r="C222" s="13" t="s">
        <v>834</v>
      </c>
      <c r="D222" s="10" t="s">
        <v>835</v>
      </c>
      <c r="E222" s="10" t="s">
        <v>836</v>
      </c>
      <c r="F222" s="10" t="s">
        <v>837</v>
      </c>
      <c r="G222" s="10" t="s">
        <v>838</v>
      </c>
      <c r="H222" s="10" t="s">
        <v>839</v>
      </c>
      <c r="I222" s="22" t="s">
        <v>923</v>
      </c>
      <c r="J222" s="10" t="s">
        <v>840</v>
      </c>
      <c r="K222" s="5" t="s">
        <v>114</v>
      </c>
      <c r="L222" s="10">
        <v>1</v>
      </c>
      <c r="M222" s="10">
        <f t="shared" ref="M222" si="175">L222*5</f>
        <v>5</v>
      </c>
      <c r="N222" s="5">
        <v>10</v>
      </c>
      <c r="O222" s="19" t="s">
        <v>280</v>
      </c>
      <c r="P222" s="6">
        <v>3.9E-2</v>
      </c>
      <c r="Q222" s="11">
        <f t="shared" ref="Q222" si="176">P222*N222</f>
        <v>0.39</v>
      </c>
      <c r="R222" s="10"/>
    </row>
    <row r="223" spans="1:18" ht="36" x14ac:dyDescent="0.25">
      <c r="A223" s="1"/>
      <c r="B223" s="7">
        <v>23</v>
      </c>
      <c r="C223" s="12" t="s">
        <v>841</v>
      </c>
      <c r="D223" s="5" t="s">
        <v>842</v>
      </c>
      <c r="E223" s="5" t="s">
        <v>843</v>
      </c>
      <c r="F223" s="5" t="s">
        <v>380</v>
      </c>
      <c r="G223" s="5" t="s">
        <v>844</v>
      </c>
      <c r="H223" s="5" t="s">
        <v>845</v>
      </c>
      <c r="I223" s="22" t="s">
        <v>923</v>
      </c>
      <c r="J223" s="5" t="s">
        <v>846</v>
      </c>
      <c r="K223" s="5" t="s">
        <v>114</v>
      </c>
      <c r="L223" s="5">
        <v>1</v>
      </c>
      <c r="M223" s="5">
        <f>L223*5</f>
        <v>5</v>
      </c>
      <c r="N223" s="5">
        <v>6</v>
      </c>
      <c r="O223" s="19" t="s">
        <v>280</v>
      </c>
      <c r="P223" s="6">
        <v>0.23089999999999999</v>
      </c>
      <c r="Q223" s="6">
        <f>P223*N223</f>
        <v>1.3854</v>
      </c>
      <c r="R223" s="5"/>
    </row>
    <row r="224" spans="1:18" ht="48" x14ac:dyDescent="0.25">
      <c r="A224" s="1"/>
      <c r="B224" s="7">
        <v>24</v>
      </c>
      <c r="C224" s="13" t="s">
        <v>199</v>
      </c>
      <c r="D224" s="10" t="s">
        <v>847</v>
      </c>
      <c r="E224" s="10" t="s">
        <v>848</v>
      </c>
      <c r="F224" s="10" t="s">
        <v>849</v>
      </c>
      <c r="G224" s="10" t="s">
        <v>850</v>
      </c>
      <c r="H224" s="10" t="s">
        <v>73</v>
      </c>
      <c r="I224" s="22" t="s">
        <v>923</v>
      </c>
      <c r="J224" s="10" t="s">
        <v>851</v>
      </c>
      <c r="K224" s="5" t="s">
        <v>114</v>
      </c>
      <c r="L224" s="10">
        <v>1</v>
      </c>
      <c r="M224" s="10">
        <f t="shared" ref="M224" si="177">L224*5</f>
        <v>5</v>
      </c>
      <c r="N224" s="10">
        <v>20</v>
      </c>
      <c r="O224" s="19" t="s">
        <v>280</v>
      </c>
      <c r="P224" s="11">
        <v>3.2399999999999998E-2</v>
      </c>
      <c r="Q224" s="11">
        <f t="shared" ref="Q224" si="178">P224*N224</f>
        <v>0.64799999999999991</v>
      </c>
      <c r="R224" s="10"/>
    </row>
    <row r="225" spans="1:18" ht="24" x14ac:dyDescent="0.25">
      <c r="A225" s="1"/>
      <c r="B225" s="7">
        <v>25</v>
      </c>
      <c r="C225" s="12" t="s">
        <v>852</v>
      </c>
      <c r="D225" s="5" t="s">
        <v>853</v>
      </c>
      <c r="E225" s="5" t="s">
        <v>854</v>
      </c>
      <c r="F225" s="5" t="s">
        <v>208</v>
      </c>
      <c r="G225" s="5" t="s">
        <v>855</v>
      </c>
      <c r="H225" s="5" t="s">
        <v>856</v>
      </c>
      <c r="I225" s="22" t="s">
        <v>923</v>
      </c>
      <c r="J225" s="5" t="s">
        <v>857</v>
      </c>
      <c r="K225" s="5" t="s">
        <v>114</v>
      </c>
      <c r="L225" s="5">
        <v>1</v>
      </c>
      <c r="M225" s="5">
        <f>L225*5</f>
        <v>5</v>
      </c>
      <c r="N225" s="5">
        <v>50</v>
      </c>
      <c r="O225" s="19" t="s">
        <v>280</v>
      </c>
      <c r="P225" s="6">
        <v>5.4000000000000003E-3</v>
      </c>
      <c r="Q225" s="6">
        <f>P225*N225</f>
        <v>0.27</v>
      </c>
      <c r="R225" s="5"/>
    </row>
    <row r="226" spans="1:18" x14ac:dyDescent="0.25">
      <c r="A226" s="1"/>
      <c r="B226" s="7">
        <v>26</v>
      </c>
      <c r="C226" s="13" t="s">
        <v>10</v>
      </c>
      <c r="D226" s="10" t="s">
        <v>858</v>
      </c>
      <c r="E226" s="10" t="s">
        <v>129</v>
      </c>
      <c r="F226" s="10" t="s">
        <v>49</v>
      </c>
      <c r="G226" s="10" t="s">
        <v>130</v>
      </c>
      <c r="H226" s="10" t="s">
        <v>71</v>
      </c>
      <c r="I226" s="22" t="s">
        <v>923</v>
      </c>
      <c r="J226" s="10" t="s">
        <v>159</v>
      </c>
      <c r="K226" s="10" t="s">
        <v>160</v>
      </c>
      <c r="L226" s="10">
        <v>4</v>
      </c>
      <c r="M226" s="10">
        <f t="shared" ref="M226" si="179">L226*5</f>
        <v>20</v>
      </c>
      <c r="N226" s="5">
        <v>100</v>
      </c>
      <c r="O226" s="19" t="s">
        <v>280</v>
      </c>
      <c r="P226" s="6">
        <v>5.0000000000000001E-4</v>
      </c>
      <c r="Q226" s="11">
        <f t="shared" ref="Q226" si="180">P226*N226</f>
        <v>0.05</v>
      </c>
      <c r="R226" s="10"/>
    </row>
    <row r="227" spans="1:18" x14ac:dyDescent="0.25">
      <c r="A227" s="1"/>
      <c r="B227" s="7">
        <v>27</v>
      </c>
      <c r="C227" s="12" t="s">
        <v>10</v>
      </c>
      <c r="D227" s="5" t="s">
        <v>859</v>
      </c>
      <c r="E227" s="5" t="s">
        <v>37</v>
      </c>
      <c r="F227" s="5" t="s">
        <v>49</v>
      </c>
      <c r="G227" s="5" t="s">
        <v>67</v>
      </c>
      <c r="H227" s="5" t="s">
        <v>71</v>
      </c>
      <c r="I227" s="22" t="s">
        <v>923</v>
      </c>
      <c r="J227" s="5" t="s">
        <v>93</v>
      </c>
      <c r="K227" s="5" t="s">
        <v>104</v>
      </c>
      <c r="L227" s="5">
        <v>3</v>
      </c>
      <c r="M227" s="5">
        <f>L227*5</f>
        <v>15</v>
      </c>
      <c r="N227" s="5">
        <v>100</v>
      </c>
      <c r="O227" s="19" t="s">
        <v>280</v>
      </c>
      <c r="P227" s="6">
        <v>6.9999999999999999E-4</v>
      </c>
      <c r="Q227" s="6">
        <f>P227*N227</f>
        <v>6.9999999999999993E-2</v>
      </c>
      <c r="R227" s="5"/>
    </row>
    <row r="228" spans="1:18" x14ac:dyDescent="0.25">
      <c r="A228" s="1"/>
      <c r="B228" s="7">
        <v>28</v>
      </c>
      <c r="C228" s="13" t="s">
        <v>10</v>
      </c>
      <c r="D228" s="10" t="s">
        <v>860</v>
      </c>
      <c r="E228" s="10" t="s">
        <v>861</v>
      </c>
      <c r="F228" s="10" t="s">
        <v>49</v>
      </c>
      <c r="G228" s="10" t="s">
        <v>862</v>
      </c>
      <c r="H228" s="10" t="s">
        <v>608</v>
      </c>
      <c r="I228" s="22" t="s">
        <v>923</v>
      </c>
      <c r="J228" s="10" t="s">
        <v>863</v>
      </c>
      <c r="K228" s="10" t="s">
        <v>99</v>
      </c>
      <c r="L228" s="10">
        <v>2</v>
      </c>
      <c r="M228" s="10">
        <f t="shared" ref="M228" si="181">L228*5</f>
        <v>10</v>
      </c>
      <c r="N228" s="5">
        <v>20</v>
      </c>
      <c r="O228" s="19" t="s">
        <v>280</v>
      </c>
      <c r="P228" s="6">
        <v>2.23E-2</v>
      </c>
      <c r="Q228" s="11">
        <f t="shared" ref="Q228" si="182">P228*N228</f>
        <v>0.44600000000000001</v>
      </c>
      <c r="R228" s="10"/>
    </row>
    <row r="229" spans="1:18" x14ac:dyDescent="0.25">
      <c r="A229" s="1"/>
      <c r="B229" s="7">
        <v>29</v>
      </c>
      <c r="C229" s="12" t="s">
        <v>9</v>
      </c>
      <c r="D229" s="5" t="s">
        <v>864</v>
      </c>
      <c r="E229" s="5" t="s">
        <v>31</v>
      </c>
      <c r="F229" s="5" t="s">
        <v>49</v>
      </c>
      <c r="G229" s="5" t="s">
        <v>61</v>
      </c>
      <c r="H229" s="5" t="s">
        <v>71</v>
      </c>
      <c r="I229" s="22" t="s">
        <v>923</v>
      </c>
      <c r="J229" s="5" t="s">
        <v>87</v>
      </c>
      <c r="K229" s="5" t="s">
        <v>99</v>
      </c>
      <c r="L229" s="5">
        <v>3</v>
      </c>
      <c r="M229" s="5">
        <f>L229*5</f>
        <v>15</v>
      </c>
      <c r="N229" s="10">
        <v>100</v>
      </c>
      <c r="O229" s="19" t="s">
        <v>280</v>
      </c>
      <c r="P229" s="11">
        <v>5.9999999999999995E-4</v>
      </c>
      <c r="Q229" s="6">
        <f>P229*N229</f>
        <v>0.06</v>
      </c>
      <c r="R229" s="5"/>
    </row>
    <row r="230" spans="1:18" x14ac:dyDescent="0.25">
      <c r="A230" s="1"/>
      <c r="B230" s="7">
        <v>30</v>
      </c>
      <c r="C230" s="13" t="s">
        <v>10</v>
      </c>
      <c r="D230" s="10" t="s">
        <v>865</v>
      </c>
      <c r="E230" s="10" t="s">
        <v>211</v>
      </c>
      <c r="F230" s="10" t="s">
        <v>49</v>
      </c>
      <c r="G230" s="10" t="s">
        <v>212</v>
      </c>
      <c r="H230" s="10" t="s">
        <v>71</v>
      </c>
      <c r="I230" s="22" t="s">
        <v>923</v>
      </c>
      <c r="J230" s="10" t="s">
        <v>260</v>
      </c>
      <c r="K230" s="10" t="s">
        <v>261</v>
      </c>
      <c r="L230" s="10">
        <v>1</v>
      </c>
      <c r="M230" s="10">
        <f t="shared" ref="M230" si="183">L230*5</f>
        <v>5</v>
      </c>
      <c r="N230" s="5">
        <v>100</v>
      </c>
      <c r="O230" s="19" t="s">
        <v>280</v>
      </c>
      <c r="P230" s="6">
        <v>5.9999999999999995E-4</v>
      </c>
      <c r="Q230" s="11">
        <f t="shared" ref="Q230" si="184">P230*N230</f>
        <v>0.06</v>
      </c>
      <c r="R230" s="10"/>
    </row>
    <row r="231" spans="1:18" x14ac:dyDescent="0.25">
      <c r="A231" s="1"/>
      <c r="B231" s="7">
        <v>31</v>
      </c>
      <c r="C231" s="12" t="s">
        <v>10</v>
      </c>
      <c r="D231" s="5" t="s">
        <v>866</v>
      </c>
      <c r="E231" s="5" t="s">
        <v>663</v>
      </c>
      <c r="F231" s="5" t="s">
        <v>49</v>
      </c>
      <c r="G231" s="5" t="s">
        <v>664</v>
      </c>
      <c r="H231" s="5" t="s">
        <v>71</v>
      </c>
      <c r="I231" s="22" t="s">
        <v>923</v>
      </c>
      <c r="J231" s="5" t="s">
        <v>665</v>
      </c>
      <c r="K231" s="5" t="s">
        <v>647</v>
      </c>
      <c r="L231" s="5">
        <v>3</v>
      </c>
      <c r="M231" s="5">
        <f>L231*5</f>
        <v>15</v>
      </c>
      <c r="N231" s="5">
        <v>100</v>
      </c>
      <c r="O231" s="19" t="s">
        <v>280</v>
      </c>
      <c r="P231" s="6">
        <v>5.9999999999999995E-4</v>
      </c>
      <c r="Q231" s="6">
        <f>P231*N231</f>
        <v>0.06</v>
      </c>
      <c r="R231" s="5"/>
    </row>
    <row r="232" spans="1:18" x14ac:dyDescent="0.25">
      <c r="A232" s="1"/>
      <c r="B232" s="7">
        <v>32</v>
      </c>
      <c r="C232" s="13" t="s">
        <v>10</v>
      </c>
      <c r="D232" s="10" t="s">
        <v>867</v>
      </c>
      <c r="E232" s="10" t="s">
        <v>132</v>
      </c>
      <c r="F232" s="10" t="s">
        <v>49</v>
      </c>
      <c r="G232" s="10" t="s">
        <v>133</v>
      </c>
      <c r="H232" s="10" t="s">
        <v>71</v>
      </c>
      <c r="I232" s="22" t="s">
        <v>923</v>
      </c>
      <c r="J232" s="10" t="s">
        <v>161</v>
      </c>
      <c r="K232" s="10" t="s">
        <v>162</v>
      </c>
      <c r="L232" s="10">
        <v>2</v>
      </c>
      <c r="M232" s="10">
        <f t="shared" ref="M232" si="185">L232*5</f>
        <v>10</v>
      </c>
      <c r="N232" s="10">
        <v>100</v>
      </c>
      <c r="O232" s="19" t="s">
        <v>280</v>
      </c>
      <c r="P232" s="11">
        <v>5.9999999999999995E-4</v>
      </c>
      <c r="Q232" s="11">
        <f t="shared" ref="Q232" si="186">P232*N232</f>
        <v>0.06</v>
      </c>
      <c r="R232" s="10"/>
    </row>
    <row r="233" spans="1:18" x14ac:dyDescent="0.25">
      <c r="A233" s="1"/>
      <c r="B233" s="7">
        <v>33</v>
      </c>
      <c r="C233" s="12" t="s">
        <v>10</v>
      </c>
      <c r="D233" s="5" t="s">
        <v>868</v>
      </c>
      <c r="E233" s="5" t="s">
        <v>869</v>
      </c>
      <c r="F233" s="5" t="s">
        <v>49</v>
      </c>
      <c r="G233" s="5" t="s">
        <v>870</v>
      </c>
      <c r="H233" s="5" t="s">
        <v>71</v>
      </c>
      <c r="I233" s="22" t="s">
        <v>923</v>
      </c>
      <c r="J233" s="5" t="s">
        <v>871</v>
      </c>
      <c r="K233" s="5" t="s">
        <v>872</v>
      </c>
      <c r="L233" s="5">
        <v>2</v>
      </c>
      <c r="M233" s="5">
        <f>L233*5</f>
        <v>10</v>
      </c>
      <c r="N233" s="10">
        <v>100</v>
      </c>
      <c r="O233" s="19" t="s">
        <v>280</v>
      </c>
      <c r="P233" s="11">
        <v>5.9999999999999995E-4</v>
      </c>
      <c r="Q233" s="6">
        <f>P233*N233</f>
        <v>0.06</v>
      </c>
      <c r="R233" s="5"/>
    </row>
    <row r="234" spans="1:18" x14ac:dyDescent="0.25">
      <c r="A234" s="1"/>
      <c r="B234" s="7">
        <v>34</v>
      </c>
      <c r="C234" s="12" t="s">
        <v>10</v>
      </c>
      <c r="D234" s="10" t="s">
        <v>873</v>
      </c>
      <c r="E234" s="10" t="s">
        <v>874</v>
      </c>
      <c r="F234" s="10" t="s">
        <v>49</v>
      </c>
      <c r="G234" s="10" t="s">
        <v>875</v>
      </c>
      <c r="H234" s="10" t="s">
        <v>71</v>
      </c>
      <c r="I234" s="22" t="s">
        <v>923</v>
      </c>
      <c r="J234" s="10" t="s">
        <v>876</v>
      </c>
      <c r="K234" s="10" t="s">
        <v>877</v>
      </c>
      <c r="L234" s="10">
        <v>1</v>
      </c>
      <c r="M234" s="10">
        <f t="shared" ref="M234" si="187">L234*5</f>
        <v>5</v>
      </c>
      <c r="N234" s="5">
        <v>100</v>
      </c>
      <c r="O234" s="19" t="s">
        <v>280</v>
      </c>
      <c r="P234" s="6">
        <v>5.9999999999999995E-4</v>
      </c>
      <c r="Q234" s="11">
        <f t="shared" ref="Q234" si="188">P234*N234</f>
        <v>0.06</v>
      </c>
      <c r="R234" s="10"/>
    </row>
    <row r="235" spans="1:18" x14ac:dyDescent="0.25">
      <c r="A235" s="1"/>
      <c r="B235" s="7">
        <v>35</v>
      </c>
      <c r="C235" s="12" t="s">
        <v>10</v>
      </c>
      <c r="D235" s="5" t="s">
        <v>878</v>
      </c>
      <c r="E235" s="5" t="s">
        <v>326</v>
      </c>
      <c r="F235" s="5" t="s">
        <v>49</v>
      </c>
      <c r="G235" s="5" t="s">
        <v>327</v>
      </c>
      <c r="H235" s="5" t="s">
        <v>71</v>
      </c>
      <c r="I235" s="22" t="s">
        <v>923</v>
      </c>
      <c r="J235" s="5" t="s">
        <v>328</v>
      </c>
      <c r="K235" s="5" t="s">
        <v>329</v>
      </c>
      <c r="L235" s="5">
        <v>3</v>
      </c>
      <c r="M235" s="5">
        <f>L235*5</f>
        <v>15</v>
      </c>
      <c r="N235" s="5">
        <v>100</v>
      </c>
      <c r="O235" s="19" t="s">
        <v>280</v>
      </c>
      <c r="P235" s="6">
        <v>6.9999999999999999E-4</v>
      </c>
      <c r="Q235" s="6">
        <f>P235*N235</f>
        <v>6.9999999999999993E-2</v>
      </c>
      <c r="R235" s="5"/>
    </row>
    <row r="236" spans="1:18" x14ac:dyDescent="0.25">
      <c r="A236" s="1"/>
      <c r="B236" s="7">
        <v>36</v>
      </c>
      <c r="C236" s="12" t="s">
        <v>10</v>
      </c>
      <c r="D236" s="10" t="s">
        <v>879</v>
      </c>
      <c r="E236" s="10" t="s">
        <v>650</v>
      </c>
      <c r="F236" s="10" t="s">
        <v>49</v>
      </c>
      <c r="G236" s="10" t="s">
        <v>651</v>
      </c>
      <c r="H236" s="10" t="s">
        <v>608</v>
      </c>
      <c r="I236" s="22" t="s">
        <v>923</v>
      </c>
      <c r="J236" s="10" t="s">
        <v>652</v>
      </c>
      <c r="K236" s="10" t="s">
        <v>164</v>
      </c>
      <c r="L236" s="10">
        <v>1</v>
      </c>
      <c r="M236" s="10">
        <f t="shared" ref="M236" si="189">L236*5</f>
        <v>5</v>
      </c>
      <c r="N236" s="5">
        <v>20</v>
      </c>
      <c r="O236" s="19" t="s">
        <v>280</v>
      </c>
      <c r="P236" s="6">
        <v>2.07E-2</v>
      </c>
      <c r="Q236" s="11">
        <f t="shared" ref="Q236" si="190">P236*N236</f>
        <v>0.41399999999999998</v>
      </c>
      <c r="R236" s="10"/>
    </row>
    <row r="237" spans="1:18" x14ac:dyDescent="0.25">
      <c r="A237" s="1"/>
      <c r="B237" s="7">
        <v>37</v>
      </c>
      <c r="C237" s="12" t="s">
        <v>10</v>
      </c>
      <c r="D237" s="5" t="s">
        <v>880</v>
      </c>
      <c r="E237" s="5" t="s">
        <v>469</v>
      </c>
      <c r="F237" s="5" t="s">
        <v>49</v>
      </c>
      <c r="G237" s="5" t="s">
        <v>470</v>
      </c>
      <c r="H237" s="5" t="s">
        <v>71</v>
      </c>
      <c r="I237" s="22" t="s">
        <v>923</v>
      </c>
      <c r="J237" s="5" t="s">
        <v>471</v>
      </c>
      <c r="K237" s="5" t="s">
        <v>472</v>
      </c>
      <c r="L237" s="5">
        <v>2</v>
      </c>
      <c r="M237" s="5">
        <f>L237*5</f>
        <v>10</v>
      </c>
      <c r="N237" s="10">
        <v>100</v>
      </c>
      <c r="O237" s="19" t="s">
        <v>280</v>
      </c>
      <c r="P237" s="11">
        <v>5.9999999999999995E-4</v>
      </c>
      <c r="Q237" s="6">
        <f>P237*N237</f>
        <v>0.06</v>
      </c>
      <c r="R237" s="5"/>
    </row>
    <row r="238" spans="1:18" x14ac:dyDescent="0.25">
      <c r="A238" s="1"/>
      <c r="B238" s="7">
        <v>38</v>
      </c>
      <c r="C238" s="12" t="s">
        <v>10</v>
      </c>
      <c r="D238" s="10" t="s">
        <v>881</v>
      </c>
      <c r="E238" s="10" t="s">
        <v>342</v>
      </c>
      <c r="F238" s="10" t="s">
        <v>49</v>
      </c>
      <c r="G238" s="10" t="s">
        <v>343</v>
      </c>
      <c r="H238" s="10" t="s">
        <v>71</v>
      </c>
      <c r="I238" s="22" t="s">
        <v>923</v>
      </c>
      <c r="J238" s="10" t="s">
        <v>344</v>
      </c>
      <c r="K238" s="10" t="s">
        <v>345</v>
      </c>
      <c r="L238" s="10">
        <v>5</v>
      </c>
      <c r="M238" s="10">
        <f t="shared" ref="M238" si="191">L238*5</f>
        <v>25</v>
      </c>
      <c r="N238" s="5">
        <v>100</v>
      </c>
      <c r="O238" s="19" t="s">
        <v>280</v>
      </c>
      <c r="P238" s="6">
        <v>5.9999999999999995E-4</v>
      </c>
      <c r="Q238" s="11">
        <f t="shared" ref="Q238" si="192">P238*N238</f>
        <v>0.06</v>
      </c>
      <c r="R238" s="10"/>
    </row>
    <row r="239" spans="1:18" x14ac:dyDescent="0.25">
      <c r="A239" s="1"/>
      <c r="B239" s="7">
        <v>39</v>
      </c>
      <c r="C239" s="12" t="s">
        <v>10</v>
      </c>
      <c r="D239" s="5" t="s">
        <v>882</v>
      </c>
      <c r="E239" s="5" t="s">
        <v>883</v>
      </c>
      <c r="F239" s="5" t="s">
        <v>215</v>
      </c>
      <c r="G239" s="5" t="s">
        <v>927</v>
      </c>
      <c r="H239" s="5" t="s">
        <v>920</v>
      </c>
      <c r="I239" s="22" t="s">
        <v>923</v>
      </c>
      <c r="J239" s="5" t="s">
        <v>884</v>
      </c>
      <c r="K239" s="5" t="s">
        <v>885</v>
      </c>
      <c r="L239" s="5">
        <v>1</v>
      </c>
      <c r="M239" s="5">
        <f>L239*5</f>
        <v>5</v>
      </c>
      <c r="N239" s="5">
        <v>100</v>
      </c>
      <c r="O239" s="19" t="s">
        <v>280</v>
      </c>
      <c r="P239" s="6">
        <v>7.0000000000000001E-3</v>
      </c>
      <c r="Q239" s="6">
        <f>P239*N239</f>
        <v>0.70000000000000007</v>
      </c>
      <c r="R239" s="5"/>
    </row>
    <row r="240" spans="1:18" x14ac:dyDescent="0.25">
      <c r="A240" s="1"/>
      <c r="B240" s="7">
        <v>40</v>
      </c>
      <c r="C240" s="12" t="s">
        <v>10</v>
      </c>
      <c r="D240" s="14" t="s">
        <v>886</v>
      </c>
      <c r="E240" s="14" t="s">
        <v>31</v>
      </c>
      <c r="F240" s="14" t="s">
        <v>49</v>
      </c>
      <c r="G240" s="14" t="s">
        <v>61</v>
      </c>
      <c r="H240" s="14" t="s">
        <v>71</v>
      </c>
      <c r="I240" s="22" t="s">
        <v>923</v>
      </c>
      <c r="J240" s="14" t="s">
        <v>87</v>
      </c>
      <c r="K240" s="14" t="s">
        <v>103</v>
      </c>
      <c r="L240" s="14">
        <v>1</v>
      </c>
      <c r="M240" s="14">
        <f t="shared" ref="M240" si="193">L240*5</f>
        <v>5</v>
      </c>
      <c r="N240" s="14" t="s">
        <v>114</v>
      </c>
      <c r="O240" s="14" t="s">
        <v>114</v>
      </c>
      <c r="P240" s="15" t="s">
        <v>114</v>
      </c>
      <c r="Q240" s="15" t="s">
        <v>114</v>
      </c>
      <c r="R240" s="16" t="s">
        <v>115</v>
      </c>
    </row>
    <row r="241" spans="1:18" ht="24" x14ac:dyDescent="0.25">
      <c r="A241" s="1"/>
      <c r="B241" s="7">
        <v>41</v>
      </c>
      <c r="C241" s="12" t="s">
        <v>491</v>
      </c>
      <c r="D241" s="5" t="s">
        <v>492</v>
      </c>
      <c r="E241" s="5" t="s">
        <v>493</v>
      </c>
      <c r="F241" s="5" t="s">
        <v>494</v>
      </c>
      <c r="G241" s="5" t="s">
        <v>495</v>
      </c>
      <c r="H241" s="5" t="s">
        <v>370</v>
      </c>
      <c r="I241" s="22" t="s">
        <v>923</v>
      </c>
      <c r="J241" s="5" t="s">
        <v>496</v>
      </c>
      <c r="K241" s="5" t="s">
        <v>114</v>
      </c>
      <c r="L241" s="5">
        <v>1</v>
      </c>
      <c r="M241" s="5">
        <f>L241*5</f>
        <v>5</v>
      </c>
      <c r="N241" s="5">
        <v>6</v>
      </c>
      <c r="O241" s="19" t="s">
        <v>280</v>
      </c>
      <c r="P241" s="6">
        <v>9.8475000000000001</v>
      </c>
      <c r="Q241" s="6">
        <f>P241*N241</f>
        <v>59.085000000000001</v>
      </c>
      <c r="R241" s="5"/>
    </row>
    <row r="242" spans="1:18" x14ac:dyDescent="0.25">
      <c r="A242" s="1"/>
      <c r="B242" s="7">
        <v>42</v>
      </c>
      <c r="C242" s="13" t="s">
        <v>8</v>
      </c>
      <c r="D242" s="10" t="s">
        <v>887</v>
      </c>
      <c r="E242" s="10" t="s">
        <v>888</v>
      </c>
      <c r="F242" s="10" t="s">
        <v>889</v>
      </c>
      <c r="G242" s="10" t="s">
        <v>890</v>
      </c>
      <c r="H242" s="10" t="s">
        <v>891</v>
      </c>
      <c r="I242" s="22" t="s">
        <v>923</v>
      </c>
      <c r="J242" s="10" t="s">
        <v>892</v>
      </c>
      <c r="K242" s="5" t="s">
        <v>114</v>
      </c>
      <c r="L242" s="10">
        <v>1</v>
      </c>
      <c r="M242" s="10">
        <f t="shared" ref="M242" si="194">L242*5</f>
        <v>5</v>
      </c>
      <c r="N242" s="10">
        <v>6</v>
      </c>
      <c r="O242" s="19" t="s">
        <v>280</v>
      </c>
      <c r="P242" s="11">
        <v>0.36249999999999999</v>
      </c>
      <c r="Q242" s="11">
        <f t="shared" ref="Q242" si="195">P242*N242</f>
        <v>2.1749999999999998</v>
      </c>
      <c r="R242" s="10"/>
    </row>
    <row r="243" spans="1:18" ht="24" x14ac:dyDescent="0.25">
      <c r="A243" s="1"/>
      <c r="B243" s="7">
        <v>43</v>
      </c>
      <c r="C243" s="12" t="s">
        <v>8</v>
      </c>
      <c r="D243" s="5" t="s">
        <v>893</v>
      </c>
      <c r="E243" s="5" t="s">
        <v>894</v>
      </c>
      <c r="F243" s="5" t="s">
        <v>735</v>
      </c>
      <c r="G243" s="5" t="s">
        <v>895</v>
      </c>
      <c r="H243" s="5" t="s">
        <v>737</v>
      </c>
      <c r="I243" s="22" t="s">
        <v>923</v>
      </c>
      <c r="J243" s="5" t="s">
        <v>896</v>
      </c>
      <c r="K243" s="5" t="s">
        <v>114</v>
      </c>
      <c r="L243" s="5">
        <v>2</v>
      </c>
      <c r="M243" s="5">
        <f>L243*5</f>
        <v>10</v>
      </c>
      <c r="N243" s="10">
        <v>15</v>
      </c>
      <c r="O243" s="19" t="s">
        <v>280</v>
      </c>
      <c r="P243" s="11">
        <v>9.9000000000000005E-2</v>
      </c>
      <c r="Q243" s="6">
        <f>P243*N243</f>
        <v>1.4850000000000001</v>
      </c>
      <c r="R243" s="5"/>
    </row>
    <row r="244" spans="1:18" ht="24" x14ac:dyDescent="0.25">
      <c r="A244" s="1"/>
      <c r="B244" s="7">
        <v>44</v>
      </c>
      <c r="C244" s="13" t="s">
        <v>8</v>
      </c>
      <c r="D244" s="10" t="s">
        <v>897</v>
      </c>
      <c r="E244" s="10" t="s">
        <v>898</v>
      </c>
      <c r="F244" s="10" t="s">
        <v>899</v>
      </c>
      <c r="G244" s="10" t="s">
        <v>900</v>
      </c>
      <c r="H244" s="10" t="s">
        <v>901</v>
      </c>
      <c r="I244" s="22" t="s">
        <v>923</v>
      </c>
      <c r="J244" s="10" t="s">
        <v>902</v>
      </c>
      <c r="K244" s="5" t="s">
        <v>114</v>
      </c>
      <c r="L244" s="10">
        <v>2</v>
      </c>
      <c r="M244" s="10">
        <f t="shared" ref="M244:M246" si="196">L244*5</f>
        <v>10</v>
      </c>
      <c r="N244" s="5">
        <v>15</v>
      </c>
      <c r="O244" s="19" t="s">
        <v>280</v>
      </c>
      <c r="P244" s="6">
        <v>9.1899999999999996E-2</v>
      </c>
      <c r="Q244" s="11">
        <f t="shared" ref="Q244:Q246" si="197">P244*N244</f>
        <v>1.3784999999999998</v>
      </c>
      <c r="R244" s="10"/>
    </row>
    <row r="245" spans="1:18" ht="48" x14ac:dyDescent="0.25">
      <c r="A245" s="1"/>
      <c r="B245" s="7">
        <v>45</v>
      </c>
      <c r="C245" s="13" t="s">
        <v>931</v>
      </c>
      <c r="D245" s="10" t="s">
        <v>114</v>
      </c>
      <c r="E245" s="10" t="s">
        <v>932</v>
      </c>
      <c r="F245" s="10" t="s">
        <v>114</v>
      </c>
      <c r="G245" s="10" t="s">
        <v>931</v>
      </c>
      <c r="H245" s="10" t="s">
        <v>933</v>
      </c>
      <c r="I245" s="22" t="s">
        <v>923</v>
      </c>
      <c r="J245" s="10" t="s">
        <v>114</v>
      </c>
      <c r="K245" s="5" t="s">
        <v>114</v>
      </c>
      <c r="L245" s="10">
        <v>1</v>
      </c>
      <c r="M245" s="10">
        <f t="shared" si="196"/>
        <v>5</v>
      </c>
      <c r="N245" s="5">
        <v>5</v>
      </c>
      <c r="O245" s="19" t="s">
        <v>934</v>
      </c>
      <c r="P245" s="6">
        <v>15.4</v>
      </c>
      <c r="Q245" s="11">
        <f t="shared" si="197"/>
        <v>77</v>
      </c>
      <c r="R245" s="10"/>
    </row>
    <row r="246" spans="1:18" ht="30.75" thickBot="1" x14ac:dyDescent="0.3">
      <c r="A246" s="1"/>
      <c r="B246" s="7">
        <v>46</v>
      </c>
      <c r="C246" s="13" t="s">
        <v>928</v>
      </c>
      <c r="D246" s="10" t="s">
        <v>114</v>
      </c>
      <c r="E246" s="10" t="s">
        <v>114</v>
      </c>
      <c r="F246" s="10" t="s">
        <v>114</v>
      </c>
      <c r="G246" s="10" t="s">
        <v>929</v>
      </c>
      <c r="H246" s="10" t="s">
        <v>114</v>
      </c>
      <c r="I246" s="22" t="s">
        <v>923</v>
      </c>
      <c r="J246" s="10" t="s">
        <v>114</v>
      </c>
      <c r="K246" s="5" t="s">
        <v>114</v>
      </c>
      <c r="L246" s="10">
        <v>2</v>
      </c>
      <c r="M246" s="10">
        <f t="shared" si="196"/>
        <v>10</v>
      </c>
      <c r="N246" s="5">
        <v>10</v>
      </c>
      <c r="O246" s="19" t="s">
        <v>930</v>
      </c>
      <c r="P246" s="6">
        <v>30</v>
      </c>
      <c r="Q246" s="11">
        <f t="shared" si="197"/>
        <v>300</v>
      </c>
      <c r="R246" s="26"/>
    </row>
    <row r="247" spans="1:18" ht="19.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3" t="s">
        <v>1</v>
      </c>
      <c r="O247" s="24"/>
      <c r="P247" s="24"/>
      <c r="Q247" s="8">
        <f>SUM(Q201:Q246)</f>
        <v>477.82940000000002</v>
      </c>
      <c r="R247" s="1"/>
    </row>
    <row r="248" spans="1:18" ht="19.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3" t="s">
        <v>2</v>
      </c>
      <c r="O248" s="24"/>
      <c r="P248" s="24"/>
      <c r="Q248" s="9">
        <f>Q247/5</f>
        <v>95.565880000000007</v>
      </c>
      <c r="R248" s="1"/>
    </row>
    <row r="249" spans="1:18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</row>
    <row r="250" spans="1:18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</row>
    <row r="251" spans="1:18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</row>
    <row r="252" spans="1:18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</row>
    <row r="253" spans="1:18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</row>
    <row r="254" spans="1:18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</row>
    <row r="255" spans="1:18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</row>
    <row r="256" spans="1:18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</row>
    <row r="257" spans="1:18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</row>
    <row r="258" spans="1:18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</row>
    <row r="259" spans="1:18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</row>
    <row r="260" spans="1:18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</row>
    <row r="261" spans="1:18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</row>
    <row r="262" spans="1:18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</row>
    <row r="263" spans="1:18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</row>
    <row r="264" spans="1:18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spans="1:18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</row>
    <row r="266" spans="1:18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</row>
    <row r="267" spans="1:18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</row>
    <row r="268" spans="1:18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</row>
    <row r="269" spans="1:18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</row>
    <row r="270" spans="1:18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</row>
    <row r="271" spans="1:18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</row>
    <row r="272" spans="1:18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</row>
    <row r="273" spans="1:18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</row>
    <row r="274" spans="1:18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</row>
    <row r="275" spans="1:18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</row>
    <row r="276" spans="1:18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</row>
    <row r="277" spans="1:18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</row>
    <row r="278" spans="1:18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</row>
    <row r="279" spans="1:18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</row>
    <row r="280" spans="1:18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</row>
    <row r="281" spans="1:18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</row>
    <row r="282" spans="1:18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spans="1:18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</row>
    <row r="284" spans="1:18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</row>
    <row r="285" spans="1:18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</row>
    <row r="286" spans="1:18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</row>
    <row r="287" spans="1:18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</row>
    <row r="288" spans="1:18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</row>
    <row r="289" spans="1:18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</row>
    <row r="290" spans="1:18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</row>
    <row r="291" spans="1:18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</row>
    <row r="292" spans="1:18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</row>
    <row r="293" spans="1:18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</row>
    <row r="294" spans="1:18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</row>
    <row r="295" spans="1:18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</row>
    <row r="296" spans="1:18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</row>
    <row r="297" spans="1:18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</row>
    <row r="298" spans="1:18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</row>
    <row r="299" spans="1:18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</row>
    <row r="300" spans="1:18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</row>
    <row r="301" spans="1:18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spans="1:18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</row>
    <row r="303" spans="1:18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</row>
    <row r="304" spans="1:18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</row>
    <row r="305" spans="1:18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</row>
    <row r="306" spans="1:18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</row>
    <row r="307" spans="1:18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</row>
    <row r="308" spans="1:18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</row>
    <row r="309" spans="1:18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</row>
    <row r="310" spans="1:18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</row>
    <row r="311" spans="1:18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</row>
    <row r="312" spans="1:18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</row>
    <row r="313" spans="1:18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</row>
    <row r="314" spans="1:18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</row>
    <row r="315" spans="1:18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</row>
    <row r="316" spans="1:18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</row>
    <row r="317" spans="1:18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</row>
    <row r="318" spans="1:18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</row>
    <row r="319" spans="1:18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</row>
    <row r="320" spans="1:18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</row>
    <row r="321" spans="1:18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</row>
    <row r="322" spans="1:18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</row>
    <row r="323" spans="1:18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</row>
    <row r="324" spans="1:18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</row>
    <row r="325" spans="1:18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</row>
    <row r="326" spans="1:18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</row>
    <row r="327" spans="1:18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</row>
    <row r="328" spans="1:18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</row>
    <row r="329" spans="1:18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</row>
    <row r="330" spans="1:18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</row>
    <row r="331" spans="1:18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</row>
    <row r="332" spans="1:18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</row>
    <row r="333" spans="1:18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spans="1:18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</row>
    <row r="335" spans="1:18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</row>
    <row r="336" spans="1:18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</row>
    <row r="337" spans="1:18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</row>
    <row r="338" spans="1:18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</row>
    <row r="339" spans="1:18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</row>
    <row r="340" spans="1:18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</row>
    <row r="341" spans="1:18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</row>
    <row r="342" spans="1:18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</row>
    <row r="343" spans="1:18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</row>
    <row r="344" spans="1:18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</row>
    <row r="345" spans="1:18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</row>
    <row r="346" spans="1:18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</row>
    <row r="347" spans="1:18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</row>
    <row r="348" spans="1:18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</row>
    <row r="349" spans="1:18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</row>
    <row r="350" spans="1:18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</row>
    <row r="351" spans="1:18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</row>
    <row r="352" spans="1:18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</row>
    <row r="353" spans="1:18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</row>
    <row r="354" spans="1:18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</row>
    <row r="355" spans="1:18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</row>
    <row r="356" spans="1:18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</row>
    <row r="357" spans="1:18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</row>
    <row r="358" spans="1:18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</row>
    <row r="359" spans="1:18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</row>
    <row r="360" spans="1:18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</row>
    <row r="361" spans="1:18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</row>
    <row r="362" spans="1:18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</row>
    <row r="363" spans="1:18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</row>
    <row r="364" spans="1:18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</row>
    <row r="365" spans="1:18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</row>
    <row r="366" spans="1:18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</row>
    <row r="367" spans="1:18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</row>
    <row r="368" spans="1:18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</row>
    <row r="369" spans="1:18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</row>
    <row r="370" spans="1:18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</row>
    <row r="371" spans="1:18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</row>
    <row r="372" spans="1:18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</row>
    <row r="373" spans="1:18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</row>
    <row r="374" spans="1:18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</row>
    <row r="375" spans="1:18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</row>
    <row r="376" spans="1:18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</row>
    <row r="377" spans="1:18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</row>
    <row r="378" spans="1:18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</row>
    <row r="379" spans="1:18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</row>
    <row r="380" spans="1:18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</row>
    <row r="381" spans="1:18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</row>
    <row r="382" spans="1:18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</row>
    <row r="383" spans="1:18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</row>
    <row r="384" spans="1:18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</row>
    <row r="385" spans="1:18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</row>
    <row r="386" spans="1:18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</row>
    <row r="387" spans="1:18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</row>
    <row r="388" spans="1:18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</row>
    <row r="389" spans="1:18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</row>
    <row r="390" spans="1:18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</row>
    <row r="391" spans="1:18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</row>
    <row r="392" spans="1:18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</row>
    <row r="393" spans="1:18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</row>
    <row r="394" spans="1:18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</row>
    <row r="395" spans="1:18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</row>
    <row r="396" spans="1:18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</row>
    <row r="397" spans="1:18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</row>
    <row r="398" spans="1:18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</row>
    <row r="399" spans="1:18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</row>
    <row r="400" spans="1:18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</row>
    <row r="401" spans="1:18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</row>
    <row r="402" spans="1:18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</row>
    <row r="403" spans="1:18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</row>
    <row r="404" spans="1:18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</row>
    <row r="405" spans="1:18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</row>
    <row r="406" spans="1:18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</row>
    <row r="407" spans="1:18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spans="1:18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</row>
    <row r="409" spans="1:18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</row>
    <row r="410" spans="1:18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</row>
    <row r="411" spans="1:18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</row>
    <row r="412" spans="1:18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</row>
    <row r="413" spans="1:18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</row>
    <row r="414" spans="1:18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</row>
    <row r="415" spans="1:18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</row>
    <row r="416" spans="1:18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</row>
    <row r="417" spans="1:18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</row>
    <row r="418" spans="1:18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</row>
    <row r="419" spans="1:18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</row>
    <row r="420" spans="1:18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</row>
    <row r="421" spans="1:18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</row>
    <row r="422" spans="1:18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</row>
    <row r="423" spans="1:18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</row>
    <row r="424" spans="1:18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</row>
    <row r="425" spans="1:18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</row>
    <row r="426" spans="1:18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</row>
    <row r="427" spans="1:18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</row>
    <row r="428" spans="1:18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</row>
    <row r="429" spans="1:18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</row>
    <row r="430" spans="1:18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</row>
    <row r="431" spans="1:18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</row>
    <row r="432" spans="1:18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</row>
    <row r="433" spans="1:18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</row>
    <row r="434" spans="1:18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</row>
    <row r="435" spans="1:18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</row>
    <row r="436" spans="1:18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</row>
    <row r="437" spans="1:18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</row>
    <row r="438" spans="1:18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</row>
    <row r="439" spans="1:18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</row>
    <row r="440" spans="1:18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</row>
    <row r="441" spans="1:18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</row>
    <row r="442" spans="1:18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</row>
    <row r="443" spans="1:18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</row>
    <row r="444" spans="1:18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</row>
    <row r="445" spans="1:18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</row>
    <row r="446" spans="1:18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</row>
    <row r="447" spans="1:18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</row>
    <row r="448" spans="1:18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</row>
    <row r="449" spans="1:18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</row>
    <row r="450" spans="1:18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</row>
    <row r="451" spans="1:18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</row>
    <row r="452" spans="1:18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</row>
    <row r="453" spans="1:18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</row>
    <row r="454" spans="1:18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</row>
    <row r="455" spans="1:18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spans="1:18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</row>
    <row r="457" spans="1:18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</row>
    <row r="458" spans="1:18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</row>
    <row r="459" spans="1:18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</row>
    <row r="460" spans="1:18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</row>
    <row r="461" spans="1:18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</row>
    <row r="462" spans="1:18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</row>
    <row r="463" spans="1:18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</row>
    <row r="464" spans="1:18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</row>
    <row r="465" spans="1:18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</row>
    <row r="466" spans="1:18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</row>
    <row r="467" spans="1:18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</row>
    <row r="468" spans="1:18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</row>
    <row r="469" spans="1:18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</row>
    <row r="470" spans="1:18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</row>
    <row r="471" spans="1:18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</row>
    <row r="472" spans="1:18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</row>
    <row r="473" spans="1:18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</row>
    <row r="474" spans="1:18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</row>
    <row r="475" spans="1:18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</row>
    <row r="476" spans="1:18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</row>
    <row r="477" spans="1:18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</row>
    <row r="478" spans="1:18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</row>
    <row r="479" spans="1:18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</row>
    <row r="480" spans="1:18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</row>
    <row r="481" spans="1:18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</row>
    <row r="482" spans="1:18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</row>
    <row r="483" spans="1:18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</row>
    <row r="484" spans="1:18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</row>
    <row r="485" spans="1:18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</row>
    <row r="486" spans="1:18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</row>
    <row r="487" spans="1:18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</row>
    <row r="488" spans="1:18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</row>
    <row r="489" spans="1:18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</row>
    <row r="490" spans="1:18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</row>
    <row r="491" spans="1:18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</row>
    <row r="492" spans="1:18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</row>
    <row r="493" spans="1:18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</row>
    <row r="494" spans="1:18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</row>
    <row r="495" spans="1:18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</row>
    <row r="496" spans="1:18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</row>
    <row r="497" spans="1:18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</row>
  </sheetData>
  <mergeCells count="15">
    <mergeCell ref="G2:I2"/>
    <mergeCell ref="N56:P56"/>
    <mergeCell ref="N57:P57"/>
    <mergeCell ref="G60:I60"/>
    <mergeCell ref="N87:P87"/>
    <mergeCell ref="N86:P86"/>
    <mergeCell ref="N195:P195"/>
    <mergeCell ref="G198:I198"/>
    <mergeCell ref="N247:P247"/>
    <mergeCell ref="N248:P248"/>
    <mergeCell ref="G90:I90"/>
    <mergeCell ref="N134:P134"/>
    <mergeCell ref="N135:P135"/>
    <mergeCell ref="G139:I139"/>
    <mergeCell ref="N194:P194"/>
  </mergeCells>
  <hyperlinks>
    <hyperlink ref="O5" r:id="rId1"/>
    <hyperlink ref="O6" r:id="rId2"/>
    <hyperlink ref="O7" r:id="rId3"/>
    <hyperlink ref="O8" r:id="rId4"/>
    <hyperlink ref="O9" r:id="rId5"/>
    <hyperlink ref="O10" r:id="rId6"/>
    <hyperlink ref="O11" r:id="rId7"/>
    <hyperlink ref="O12" r:id="rId8"/>
    <hyperlink ref="O13" r:id="rId9"/>
    <hyperlink ref="O14" r:id="rId10"/>
    <hyperlink ref="O16" r:id="rId11"/>
    <hyperlink ref="O17" r:id="rId12"/>
    <hyperlink ref="O18" r:id="rId13"/>
    <hyperlink ref="O19" r:id="rId14"/>
    <hyperlink ref="O20" r:id="rId15"/>
    <hyperlink ref="O21" r:id="rId16"/>
    <hyperlink ref="O22" r:id="rId17"/>
    <hyperlink ref="O23" r:id="rId18"/>
    <hyperlink ref="O24" r:id="rId19"/>
    <hyperlink ref="O25" r:id="rId20"/>
    <hyperlink ref="O26" r:id="rId21"/>
    <hyperlink ref="O27" r:id="rId22"/>
    <hyperlink ref="O28" r:id="rId23"/>
    <hyperlink ref="O29" r:id="rId24"/>
    <hyperlink ref="O30" r:id="rId25"/>
    <hyperlink ref="O31" r:id="rId26"/>
    <hyperlink ref="O32" r:id="rId27"/>
    <hyperlink ref="O33" r:id="rId28"/>
    <hyperlink ref="O34" r:id="rId29"/>
    <hyperlink ref="O35" r:id="rId30"/>
    <hyperlink ref="O36" r:id="rId31"/>
    <hyperlink ref="O37" r:id="rId32"/>
    <hyperlink ref="O38" r:id="rId33"/>
    <hyperlink ref="O40" r:id="rId34"/>
    <hyperlink ref="O41" r:id="rId35"/>
    <hyperlink ref="O42" r:id="rId36"/>
    <hyperlink ref="O43" r:id="rId37"/>
    <hyperlink ref="O44" r:id="rId38"/>
    <hyperlink ref="O45" r:id="rId39"/>
    <hyperlink ref="O46" r:id="rId40"/>
    <hyperlink ref="O47" r:id="rId41"/>
    <hyperlink ref="O48" r:id="rId42"/>
    <hyperlink ref="O49" r:id="rId43"/>
    <hyperlink ref="O50" r:id="rId44"/>
    <hyperlink ref="O51" r:id="rId45"/>
    <hyperlink ref="O52" r:id="rId46"/>
    <hyperlink ref="O53" r:id="rId47"/>
    <hyperlink ref="O54" r:id="rId48"/>
    <hyperlink ref="O55" r:id="rId49"/>
    <hyperlink ref="O63" r:id="rId50"/>
    <hyperlink ref="O64" r:id="rId51"/>
    <hyperlink ref="O65" r:id="rId52"/>
    <hyperlink ref="O66" r:id="rId53"/>
    <hyperlink ref="O67" r:id="rId54"/>
    <hyperlink ref="O68" r:id="rId55"/>
    <hyperlink ref="O69" r:id="rId56"/>
    <hyperlink ref="O70" r:id="rId57"/>
    <hyperlink ref="O71" r:id="rId58"/>
    <hyperlink ref="O72" r:id="rId59"/>
    <hyperlink ref="O73" r:id="rId60"/>
    <hyperlink ref="O74" r:id="rId61"/>
    <hyperlink ref="O75" r:id="rId62"/>
    <hyperlink ref="O76" r:id="rId63"/>
    <hyperlink ref="O77" r:id="rId64"/>
    <hyperlink ref="O78" r:id="rId65"/>
    <hyperlink ref="O79" r:id="rId66"/>
    <hyperlink ref="O80" r:id="rId67"/>
    <hyperlink ref="O82" r:id="rId68"/>
    <hyperlink ref="O83" r:id="rId69"/>
    <hyperlink ref="O84" r:id="rId70"/>
    <hyperlink ref="O85" r:id="rId71"/>
    <hyperlink ref="O93" r:id="rId72"/>
    <hyperlink ref="O94" r:id="rId73"/>
    <hyperlink ref="O95" r:id="rId74"/>
    <hyperlink ref="O96" r:id="rId75"/>
    <hyperlink ref="O97" r:id="rId76"/>
    <hyperlink ref="O99" r:id="rId77"/>
    <hyperlink ref="O100" r:id="rId78"/>
    <hyperlink ref="O102" r:id="rId79"/>
    <hyperlink ref="O103" r:id="rId80"/>
    <hyperlink ref="O104" r:id="rId81"/>
    <hyperlink ref="O105" r:id="rId82"/>
    <hyperlink ref="O106" r:id="rId83"/>
    <hyperlink ref="O107" r:id="rId84"/>
    <hyperlink ref="O109" r:id="rId85"/>
    <hyperlink ref="O110" r:id="rId86"/>
    <hyperlink ref="O111" r:id="rId87"/>
    <hyperlink ref="O112" r:id="rId88"/>
    <hyperlink ref="O113" r:id="rId89"/>
    <hyperlink ref="O115" r:id="rId90"/>
    <hyperlink ref="O116" r:id="rId91"/>
    <hyperlink ref="O117" r:id="rId92"/>
    <hyperlink ref="O119" r:id="rId93"/>
    <hyperlink ref="O121" r:id="rId94"/>
    <hyperlink ref="O122" r:id="rId95"/>
    <hyperlink ref="O123" r:id="rId96"/>
    <hyperlink ref="O124" r:id="rId97"/>
    <hyperlink ref="O125" r:id="rId98"/>
    <hyperlink ref="O126" r:id="rId99"/>
    <hyperlink ref="O127" r:id="rId100"/>
    <hyperlink ref="O128" r:id="rId101"/>
    <hyperlink ref="O129" r:id="rId102"/>
    <hyperlink ref="O130" r:id="rId103"/>
    <hyperlink ref="O131" r:id="rId104"/>
    <hyperlink ref="O132" r:id="rId105"/>
    <hyperlink ref="O133" r:id="rId106"/>
    <hyperlink ref="O143" r:id="rId107"/>
    <hyperlink ref="O144" r:id="rId108"/>
    <hyperlink ref="O145" r:id="rId109"/>
    <hyperlink ref="O146" r:id="rId110"/>
    <hyperlink ref="O147" r:id="rId111"/>
    <hyperlink ref="O148" r:id="rId112"/>
    <hyperlink ref="O149" r:id="rId113"/>
    <hyperlink ref="O150" r:id="rId114"/>
    <hyperlink ref="O151" r:id="rId115"/>
    <hyperlink ref="O152" r:id="rId116"/>
    <hyperlink ref="O153" r:id="rId117"/>
    <hyperlink ref="O154" r:id="rId118"/>
    <hyperlink ref="O155" r:id="rId119"/>
    <hyperlink ref="O156" r:id="rId120"/>
    <hyperlink ref="O157" r:id="rId121"/>
    <hyperlink ref="O160" r:id="rId122"/>
    <hyperlink ref="O161" r:id="rId123"/>
    <hyperlink ref="O163" r:id="rId124"/>
    <hyperlink ref="O164" r:id="rId125"/>
    <hyperlink ref="O165" r:id="rId126"/>
    <hyperlink ref="O166" r:id="rId127"/>
    <hyperlink ref="O167" r:id="rId128"/>
    <hyperlink ref="O168" r:id="rId129"/>
    <hyperlink ref="O169" r:id="rId130"/>
    <hyperlink ref="O170" r:id="rId131"/>
    <hyperlink ref="O171" r:id="rId132"/>
    <hyperlink ref="O172" r:id="rId133"/>
    <hyperlink ref="O174" r:id="rId134"/>
    <hyperlink ref="O175" r:id="rId135"/>
    <hyperlink ref="O176" r:id="rId136"/>
    <hyperlink ref="O177" r:id="rId137"/>
    <hyperlink ref="O178" r:id="rId138"/>
    <hyperlink ref="O181" r:id="rId139"/>
    <hyperlink ref="O182" r:id="rId140"/>
    <hyperlink ref="O183" r:id="rId141"/>
    <hyperlink ref="O184" r:id="rId142"/>
    <hyperlink ref="O185" r:id="rId143"/>
    <hyperlink ref="O186" r:id="rId144"/>
    <hyperlink ref="O187" r:id="rId145"/>
    <hyperlink ref="O188" r:id="rId146"/>
    <hyperlink ref="O190" r:id="rId147"/>
    <hyperlink ref="O192" r:id="rId148"/>
    <hyperlink ref="O193" r:id="rId149"/>
    <hyperlink ref="O201" r:id="rId150"/>
    <hyperlink ref="O202" r:id="rId151"/>
    <hyperlink ref="O203" r:id="rId152"/>
    <hyperlink ref="O204" r:id="rId153"/>
    <hyperlink ref="O205" r:id="rId154"/>
    <hyperlink ref="O206" r:id="rId155"/>
    <hyperlink ref="O207" r:id="rId156"/>
    <hyperlink ref="O208" r:id="rId157"/>
    <hyperlink ref="O209" r:id="rId158"/>
    <hyperlink ref="O210" r:id="rId159"/>
    <hyperlink ref="O211" r:id="rId160"/>
    <hyperlink ref="O212" r:id="rId161"/>
    <hyperlink ref="O213" r:id="rId162"/>
    <hyperlink ref="O214" r:id="rId163"/>
    <hyperlink ref="O215" r:id="rId164"/>
    <hyperlink ref="O216" r:id="rId165"/>
    <hyperlink ref="O217" r:id="rId166"/>
    <hyperlink ref="O218" r:id="rId167"/>
    <hyperlink ref="O219" r:id="rId168"/>
    <hyperlink ref="O220" r:id="rId169"/>
    <hyperlink ref="O221" r:id="rId170"/>
    <hyperlink ref="O222" r:id="rId171"/>
    <hyperlink ref="O223" r:id="rId172"/>
    <hyperlink ref="O224" r:id="rId173"/>
    <hyperlink ref="O225" r:id="rId174"/>
    <hyperlink ref="O226" r:id="rId175"/>
    <hyperlink ref="O227" r:id="rId176"/>
    <hyperlink ref="O228" r:id="rId177"/>
    <hyperlink ref="O229" r:id="rId178"/>
    <hyperlink ref="O230" r:id="rId179"/>
    <hyperlink ref="O231" r:id="rId180"/>
    <hyperlink ref="O232" r:id="rId181"/>
    <hyperlink ref="O233" r:id="rId182"/>
    <hyperlink ref="O234" r:id="rId183"/>
    <hyperlink ref="O235" r:id="rId184"/>
    <hyperlink ref="O236" r:id="rId185"/>
    <hyperlink ref="O237" r:id="rId186"/>
    <hyperlink ref="O238" r:id="rId187"/>
    <hyperlink ref="O239" r:id="rId188"/>
    <hyperlink ref="O241" r:id="rId189"/>
    <hyperlink ref="O242" r:id="rId190"/>
    <hyperlink ref="O243" r:id="rId191"/>
    <hyperlink ref="O39" r:id="rId192"/>
    <hyperlink ref="O108" r:id="rId193"/>
    <hyperlink ref="O158" r:id="rId194"/>
    <hyperlink ref="O159" r:id="rId195"/>
    <hyperlink ref="O162" r:id="rId196"/>
    <hyperlink ref="O189" r:id="rId197"/>
    <hyperlink ref="O191" r:id="rId198"/>
    <hyperlink ref="O244" r:id="rId199"/>
    <hyperlink ref="O245" r:id="rId200" location="nav-specification"/>
  </hyperlinks>
  <pageMargins left="0.7" right="0.7" top="0.75" bottom="0.75" header="0.3" footer="0.3"/>
  <pageSetup paperSize="9" orientation="portrait"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2024-08-22T12:24:31Z</dcterms:modified>
</cp:coreProperties>
</file>