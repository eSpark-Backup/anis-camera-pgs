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" i="1" l="1"/>
  <c r="M5" i="1"/>
  <c r="Q5" i="1"/>
  <c r="Q93" i="1" l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M60" i="1"/>
  <c r="B60" i="1"/>
  <c r="Q59" i="1"/>
  <c r="M59" i="1"/>
  <c r="B59" i="1"/>
  <c r="M58" i="1"/>
  <c r="B58" i="1"/>
  <c r="Q57" i="1"/>
  <c r="M57" i="1"/>
  <c r="B57" i="1"/>
  <c r="Q56" i="1"/>
  <c r="M56" i="1"/>
  <c r="B56" i="1"/>
  <c r="M55" i="1"/>
  <c r="B55" i="1"/>
  <c r="Q54" i="1"/>
  <c r="M54" i="1"/>
  <c r="B54" i="1"/>
  <c r="Q53" i="1"/>
  <c r="M53" i="1"/>
  <c r="B53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M16" i="1"/>
  <c r="B16" i="1"/>
  <c r="Q15" i="1"/>
  <c r="M15" i="1"/>
  <c r="B15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 l="1"/>
  <c r="Q94" i="1" s="1"/>
  <c r="Q95" i="1" s="1"/>
  <c r="M6" i="1"/>
  <c r="B6" i="1"/>
</calcChain>
</file>

<file path=xl/sharedStrings.xml><?xml version="1.0" encoding="utf-8"?>
<sst xmlns="http://schemas.openxmlformats.org/spreadsheetml/2006/main" count="937" uniqueCount="487">
  <si>
    <t>#</t>
  </si>
  <si>
    <t xml:space="preserve">Total Component Cost </t>
  </si>
  <si>
    <t>Single Board Cost</t>
  </si>
  <si>
    <t>Item Type</t>
  </si>
  <si>
    <t>Capacitor</t>
  </si>
  <si>
    <t>Diode</t>
  </si>
  <si>
    <t>Ferrite Bead</t>
  </si>
  <si>
    <t>Inductor</t>
  </si>
  <si>
    <t>LED</t>
  </si>
  <si>
    <t>MOSFET</t>
  </si>
  <si>
    <t>Resistor</t>
  </si>
  <si>
    <t>Switch</t>
  </si>
  <si>
    <t>Tactile Switch</t>
  </si>
  <si>
    <t>IC</t>
  </si>
  <si>
    <t>Microcontroller</t>
  </si>
  <si>
    <t>Crystal</t>
  </si>
  <si>
    <t>Designator</t>
  </si>
  <si>
    <t>C1, C3, C6, C7, C10, C12, C30, C38, C44, C56, C57, C76, C77, C85, C92, C99, C104, C109, C202, C262, C264, C268, C272</t>
  </si>
  <si>
    <t>C2, C4, C5, C8, C9, C11, C28, C29, C199, C200</t>
  </si>
  <si>
    <t>C13, C14, C15, C16, C18, C19, C20, C21, C22, C23, C24, C25, C26, C27, C31, C32, C40, C42, C43, C78, C86, C87, C93, C94, C100, C101, C105, C110, C111, C112</t>
  </si>
  <si>
    <t>C17</t>
  </si>
  <si>
    <t>C33, C36, C37, C58, C59, C60, C61, C62, C64, C65, C66, C67, C68, C69, C79, C80, C81, C82, C83, C84, C126</t>
  </si>
  <si>
    <t>C34, C35</t>
  </si>
  <si>
    <t>C39, C41, C55</t>
  </si>
  <si>
    <t>C45, C53, C163, C173</t>
  </si>
  <si>
    <t>C46, C47, C48, C49, C50, C51, C52, C54, C88, C89, C90, C91, C95, C96, C97, C98, C102, C103, C106, C107, C108, C113, C114, C115, C117, C159, C162, C164, C167, C168, C169, C170, C171, C172, C174, C201, C203, C205, C206, C207, C257, C263, C265, C271, C273</t>
  </si>
  <si>
    <t>C63</t>
  </si>
  <si>
    <t>C70, C71, C72, C73, C74, C75, C116, C197</t>
  </si>
  <si>
    <t>C118</t>
  </si>
  <si>
    <t>C127</t>
  </si>
  <si>
    <t>C128</t>
  </si>
  <si>
    <t>C129, C130</t>
  </si>
  <si>
    <t>C133</t>
  </si>
  <si>
    <t>C165, C166</t>
  </si>
  <si>
    <t>C198</t>
  </si>
  <si>
    <t>C204, C266, C274</t>
  </si>
  <si>
    <t>C249, C250</t>
  </si>
  <si>
    <t>C251, C252</t>
  </si>
  <si>
    <t>C253, C254</t>
  </si>
  <si>
    <t>C255</t>
  </si>
  <si>
    <t>C256</t>
  </si>
  <si>
    <t>C258</t>
  </si>
  <si>
    <t>C259</t>
  </si>
  <si>
    <t>C260</t>
  </si>
  <si>
    <t>C261, C267</t>
  </si>
  <si>
    <t>D1, D2, D3</t>
  </si>
  <si>
    <t>D29</t>
  </si>
  <si>
    <t>FB11</t>
  </si>
  <si>
    <t>L1, L2, L3, L4, L5</t>
  </si>
  <si>
    <t>L8, L10, L11</t>
  </si>
  <si>
    <t>L9</t>
  </si>
  <si>
    <t>LED2</t>
  </si>
  <si>
    <t>LED3</t>
  </si>
  <si>
    <t>Q13</t>
  </si>
  <si>
    <t>Q14</t>
  </si>
  <si>
    <t>R1, R2, R37, R90</t>
  </si>
  <si>
    <t>R3, R20, R24, R28, R68, R200</t>
  </si>
  <si>
    <t>R4</t>
  </si>
  <si>
    <t>R5</t>
  </si>
  <si>
    <t>R6, R7</t>
  </si>
  <si>
    <t>R8</t>
  </si>
  <si>
    <t>R9, R27, R30, R36, R94, R95</t>
  </si>
  <si>
    <t>R10, R14, R15, R16, R17, R18, R93, R195</t>
  </si>
  <si>
    <t>R11, R22, R23, R91</t>
  </si>
  <si>
    <t>R19</t>
  </si>
  <si>
    <t>R21</t>
  </si>
  <si>
    <t>R25, R26</t>
  </si>
  <si>
    <t>R29, R69</t>
  </si>
  <si>
    <t>R31, R32, R33, R34</t>
  </si>
  <si>
    <t>R35</t>
  </si>
  <si>
    <t>R38, R39, R92</t>
  </si>
  <si>
    <t>R82</t>
  </si>
  <si>
    <t>R89</t>
  </si>
  <si>
    <t>R118, R183, R187</t>
  </si>
  <si>
    <t>R119</t>
  </si>
  <si>
    <t>R120, R185</t>
  </si>
  <si>
    <t>R121</t>
  </si>
  <si>
    <t>R156</t>
  </si>
  <si>
    <t>R157</t>
  </si>
  <si>
    <t>R172</t>
  </si>
  <si>
    <t>R173</t>
  </si>
  <si>
    <t>R174</t>
  </si>
  <si>
    <t>R175</t>
  </si>
  <si>
    <t>R176</t>
  </si>
  <si>
    <t>R177, R179</t>
  </si>
  <si>
    <t>R178</t>
  </si>
  <si>
    <t>R180</t>
  </si>
  <si>
    <t>R181</t>
  </si>
  <si>
    <t>R182</t>
  </si>
  <si>
    <t>R184</t>
  </si>
  <si>
    <t>R186, R188</t>
  </si>
  <si>
    <t>R189</t>
  </si>
  <si>
    <t>SW1, SW2, SW4, SW5</t>
  </si>
  <si>
    <t>SW3</t>
  </si>
  <si>
    <t>U1</t>
  </si>
  <si>
    <t>U2</t>
  </si>
  <si>
    <t>U3, U4</t>
  </si>
  <si>
    <t>U5</t>
  </si>
  <si>
    <t>U7</t>
  </si>
  <si>
    <t>U10</t>
  </si>
  <si>
    <t>U15</t>
  </si>
  <si>
    <t>U19, U20</t>
  </si>
  <si>
    <t>U21</t>
  </si>
  <si>
    <t>X1</t>
  </si>
  <si>
    <t>X4</t>
  </si>
  <si>
    <t>X5</t>
  </si>
  <si>
    <t>Description</t>
  </si>
  <si>
    <t>CAP CER 10UF 10V X5R 0603</t>
  </si>
  <si>
    <t>CAP CER 22UF 6.3V X5R 0603</t>
  </si>
  <si>
    <t>CAP CER 1UF 10V X5R 0402</t>
  </si>
  <si>
    <t>CAP CER 4.7UF 6.3V X5R 0402</t>
  </si>
  <si>
    <t>CAP CER 0.1UF 10V X5R 0402</t>
  </si>
  <si>
    <t>CAP CER 22PF 50V C0G/NPO 0402</t>
  </si>
  <si>
    <t>CAP CER 2.2UF 6.3V X5R 0402</t>
  </si>
  <si>
    <t>CAP CER 4.7UF 10V X5R 0402</t>
  </si>
  <si>
    <t>CAP CER 0.1UF 10V X5R 0201</t>
  </si>
  <si>
    <t>CAP CER 100PF 50V C0G/NPO 0402</t>
  </si>
  <si>
    <t>CAP CER 1000PF 50V C0G/NP0 0402</t>
  </si>
  <si>
    <t>CAP CER 1000PF 25V C0G 0402</t>
  </si>
  <si>
    <t>CAP CER 0.1UF 16V X7R 0402</t>
  </si>
  <si>
    <t>CAP CER 150PF 25V X7R 0402</t>
  </si>
  <si>
    <t>CAP CER 0.1UF 16V X5R 0402</t>
  </si>
  <si>
    <t>CAP CER 15PF 50V C0G/NPO 0201</t>
  </si>
  <si>
    <t>CAP CER 22PF 50V C0G/NP0 0402</t>
  </si>
  <si>
    <t>CAP CER 2.2UF 100V X7T 0805</t>
  </si>
  <si>
    <t>CAP CER 0.1UF 100V X7R 0603</t>
  </si>
  <si>
    <t>CAP CER 22UF 25V X5R 0805</t>
  </si>
  <si>
    <t>CAP CER 270PF 50V C0G/NPO 0402</t>
  </si>
  <si>
    <t>CAP CER 10000PF 25V X5R 0402</t>
  </si>
  <si>
    <t>CAP CER 1UF 50V X5R 0603</t>
  </si>
  <si>
    <t>CAP CER 12PF 50V C0G/NP0 0402</t>
  </si>
  <si>
    <t>CAP CER 390PF 50V C0G 0402</t>
  </si>
  <si>
    <t>CAP CER 47PF 50V C0G/NP0 0402</t>
  </si>
  <si>
    <t>DFN1006-2(0402) ESD Protection Devices ROHS</t>
  </si>
  <si>
    <t>DIODE GEN PURP 100V 250MA SOD523</t>
  </si>
  <si>
    <t>FERRITE BEAD 300 OHM 0603 1LN</t>
  </si>
  <si>
    <t>4.2A 470nH 合金磁胶电感 ±20% 8A SMD,3x3mm Power Inductors ROHS</t>
  </si>
  <si>
    <t>2.8A 2.2uH ±20% 60mΩ 4A SMD,3.4x3x1.8mm Power Inductors ROHS</t>
  </si>
  <si>
    <t>FIXED IND 6.8UH 7A 33.4 MOHM SMD</t>
  </si>
  <si>
    <t>LED RED CLEAR CHIP SMD</t>
  </si>
  <si>
    <t>LED GREEN CLEAR CHIP SMD</t>
  </si>
  <si>
    <t>MOSFET N-CH 80V 7A/23A TDSON-8-5</t>
  </si>
  <si>
    <t>TO-263 MOSFETs ROHS</t>
  </si>
  <si>
    <t>RES 100 OHM 1% 1/16W 0402</t>
  </si>
  <si>
    <t>RES 0 OHM JUMPER 1/16W 0402</t>
  </si>
  <si>
    <t>RES SMD 120K OHM 0.1% 1/16W 0402</t>
  </si>
  <si>
    <t>RES 150K OHM 0.1% 1/16W 0402</t>
  </si>
  <si>
    <t>RES SMD 2.2K OHM 1% 1/16W 0402</t>
  </si>
  <si>
    <t>RES 47K OHM 1% 1/16W 0402</t>
  </si>
  <si>
    <t>RES 10K OHM 1% 1/16W 0402</t>
  </si>
  <si>
    <t>RES 22 OHM 1% 1/16W 0402</t>
  </si>
  <si>
    <t>RES 4.7K OHM 1% 1/16W 0402</t>
  </si>
  <si>
    <t>RES SMD 110K OHM 0.1% 1/10W 0603</t>
  </si>
  <si>
    <t>RES 49.9 OHM 1% 1/10W 0603</t>
  </si>
  <si>
    <t>RES 240 OHM 1% 1/16W 0402</t>
  </si>
  <si>
    <t>RES 240 OHM 1% 1/20W 0201</t>
  </si>
  <si>
    <t>RES SMD 0R, 1%, 0.1W, 0603</t>
  </si>
  <si>
    <t>RES 20K OHM 1% 1/16W 0402</t>
  </si>
  <si>
    <t>RES SMD 36K OHM 1% 1/5W 0402</t>
  </si>
  <si>
    <t>RES 100K OHM 1% 1/16W 0402</t>
  </si>
  <si>
    <t>RES SMD 510 OHM 1% 1/16W 0402</t>
  </si>
  <si>
    <t>RES SMD 1M OHM 5% 1/16W 0402</t>
  </si>
  <si>
    <t>RES 200 OHM 1% 1/16W 0402</t>
  </si>
  <si>
    <t>RES SMD 1M OHM 1% 1/10W 0603</t>
  </si>
  <si>
    <t>100mW Thick Film Resistors 75V ±1% 69.8kΩ 0603 Chip Resistor - Surface Mount ROHS</t>
  </si>
  <si>
    <t>RES 3.09K OHM 1% 1/8W 0805</t>
  </si>
  <si>
    <t>RES 5.23K OHM 1% 1/8W 0805</t>
  </si>
  <si>
    <t>62.5mW Thick Film Resistors 50V ±100ppm/℃ ±1% 47.5kΩ 0402 Chip Resistor - Surface Mount ROHS</t>
  </si>
  <si>
    <t>RES 0 OHM JUMPER 1/10W 0603</t>
  </si>
  <si>
    <t>RES 0.015 OHM 1% 1W 1206</t>
  </si>
  <si>
    <t>RES SMD 32.4K OHM 0.1% 1/8W 0805</t>
  </si>
  <si>
    <t>RES SMD 10.4K OHM 0.1% 1/8W 0805</t>
  </si>
  <si>
    <t>RES SMD 1K OHM 1% 1/5W 0402</t>
  </si>
  <si>
    <t>62.5mW Thick Film Resistors 50V ±100ppm/℃ ±1% 84.5kΩ 0402 Chip Resistor - Surface Mount ROHS</t>
  </si>
  <si>
    <t>RES 270K OHM 0.5% 1/10W 0603</t>
  </si>
  <si>
    <t>RES SMD 120K OHM 0.1% 1/10W 0603</t>
  </si>
  <si>
    <t>SWITCH TACTILE SPST-NO 0.05A 12V</t>
  </si>
  <si>
    <t>3.35mm 2.5mm Oval button 50mA Brick nogging 4.2mm 180gf 12V SMD Tactile Switches ROHS</t>
  </si>
  <si>
    <t>QFN-68-EP(7x7) Power Management Specialized - PMIC ROHS</t>
  </si>
  <si>
    <t>eMMC 5.1 FBGA-153 eMMC ROHS</t>
  </si>
  <si>
    <t>FBGA-96 DDR SDRAM ROHS</t>
  </si>
  <si>
    <t>FCCSP-409(14x14) Microcontroller Units (MCUs/MPUs/SOCs) ROHS</t>
  </si>
  <si>
    <t>IC REG CTRLR BUCK 20TSSOP</t>
  </si>
  <si>
    <t>IC FLASH 128MBIT SPI/QUAD 8SOIC</t>
  </si>
  <si>
    <t>Step-down type SOT-23-5 DC-DC Converters ROHS</t>
  </si>
  <si>
    <t>IC REG BUCK ADJ 1A SYNC SOT25</t>
  </si>
  <si>
    <t>IC INVERTER 1CH 1-INP SOT23-5</t>
  </si>
  <si>
    <t>32.768kHz 贴片晶振 12.5pF ±20ppm ±20ppm SMD3215-2P Crystals ROHS</t>
  </si>
  <si>
    <t>24MHz SMD Crystal Resonator 12pF ±10ppm ±30ppm -40℃~+85℃ SMD3225-4P Crystals ROHS</t>
  </si>
  <si>
    <t>CRYSTAL 25.0000MHZ 12PF SMD</t>
  </si>
  <si>
    <t>Footprint</t>
  </si>
  <si>
    <t>Cap-0603</t>
  </si>
  <si>
    <t>Cap-0402</t>
  </si>
  <si>
    <t>CAP-0201</t>
  </si>
  <si>
    <t>Cap-0201</t>
  </si>
  <si>
    <t>Cap-0805</t>
  </si>
  <si>
    <t>DFN1006-2L (Bi-Directional)</t>
  </si>
  <si>
    <t>SOD-523</t>
  </si>
  <si>
    <t>YHNR3012-R47M</t>
  </si>
  <si>
    <t>IHLP3232DZER6R8M11</t>
  </si>
  <si>
    <t>LED-0402</t>
  </si>
  <si>
    <t>PG-TDSON-8</t>
  </si>
  <si>
    <t>TO-263</t>
  </si>
  <si>
    <t>Res-0402</t>
  </si>
  <si>
    <t>Res-0603</t>
  </si>
  <si>
    <t>Res-0201</t>
  </si>
  <si>
    <t>RES-0805</t>
  </si>
  <si>
    <t>Res-1206</t>
  </si>
  <si>
    <t>B3U-1000P</t>
  </si>
  <si>
    <t>TSA016A2518A</t>
  </si>
  <si>
    <t>68-QFN-(7x7)</t>
  </si>
  <si>
    <t>FBGA-153(11.5x13)</t>
  </si>
  <si>
    <t>96-FBGA (8x14)</t>
  </si>
  <si>
    <t>FCCSP-409(14x14)</t>
  </si>
  <si>
    <t>20-HTSSOP</t>
  </si>
  <si>
    <t>SOIC-8 (208 mil)</t>
  </si>
  <si>
    <t>SOT-23-5</t>
  </si>
  <si>
    <t>FP-DBV0005A-MFG</t>
  </si>
  <si>
    <t>SMD3215-2P</t>
  </si>
  <si>
    <t>Q22FA12800090</t>
  </si>
  <si>
    <t>Manufacturer Part Number</t>
  </si>
  <si>
    <t>CC0603KRX5R6BB106</t>
  </si>
  <si>
    <t>CC0603MRX5R5BB226</t>
  </si>
  <si>
    <t>CC0402KRX5R6BB105</t>
  </si>
  <si>
    <t>CC0402KRX5R5BB475</t>
  </si>
  <si>
    <t>CC0402KRX5R6BB104</t>
  </si>
  <si>
    <t>CC0402JRNPO9BN220</t>
  </si>
  <si>
    <t>C1005X5R0J225KTJA0E</t>
  </si>
  <si>
    <t>CC0402KRX5R6BB475</t>
  </si>
  <si>
    <t>CC0201KRX5R6BB104</t>
  </si>
  <si>
    <t>CC0402JRNPO9BN101</t>
  </si>
  <si>
    <t>GRM1555C1H102JA01D</t>
  </si>
  <si>
    <t>C1005C0G1E102JT000F</t>
  </si>
  <si>
    <t>CC0402JRX7R7BB104</t>
  </si>
  <si>
    <t>CC0402KRX7R8BB151</t>
  </si>
  <si>
    <t>CC0402KRX5R7BB104</t>
  </si>
  <si>
    <t>CC0201JRNPO9BN150</t>
  </si>
  <si>
    <t>04025A220FAT2A</t>
  </si>
  <si>
    <t>GRM21BD72A225KE01L</t>
  </si>
  <si>
    <t>CC0603KRX7R0BB104</t>
  </si>
  <si>
    <t>GRM21BR61E226ME44L</t>
  </si>
  <si>
    <t>CC0402JRNPO9BN271</t>
  </si>
  <si>
    <t>CC0402KRX5R8BB103</t>
  </si>
  <si>
    <t>CL10A105KB8NNNC</t>
  </si>
  <si>
    <t>GJM1555C1H120GB01D</t>
  </si>
  <si>
    <t>CGA2B2C0G1H391J050BA</t>
  </si>
  <si>
    <t>GCM1555C1H470FA16D</t>
  </si>
  <si>
    <t>ESD5451N</t>
  </si>
  <si>
    <t>BAS516,115</t>
  </si>
  <si>
    <t>MHP0302-2R2M</t>
  </si>
  <si>
    <t>XZMDK68W-2</t>
  </si>
  <si>
    <t>XZVG68W-2</t>
  </si>
  <si>
    <t>BSC340N08NS3G</t>
  </si>
  <si>
    <t>IPB027N10N3G(UMW)</t>
  </si>
  <si>
    <t>RC0402FR-07100RL</t>
  </si>
  <si>
    <t>RC0402FR-070RL</t>
  </si>
  <si>
    <t>RT0402BRD07120KL</t>
  </si>
  <si>
    <t>RT0402BRD07150KL</t>
  </si>
  <si>
    <t>RC0402FR-072K2L</t>
  </si>
  <si>
    <t>RC0402FR-0747KL</t>
  </si>
  <si>
    <t>RC0402FR-0710KL</t>
  </si>
  <si>
    <t>RC0402FR-0722RL</t>
  </si>
  <si>
    <t>RC0402FR-074K7L</t>
  </si>
  <si>
    <t>RT0603BRE07110KL</t>
  </si>
  <si>
    <t>RC0603FR-0749R9L</t>
  </si>
  <si>
    <t>RC0402FR-07240RL</t>
  </si>
  <si>
    <t>RC0201FR-07240RL</t>
  </si>
  <si>
    <t>RC0603FR-070RL</t>
  </si>
  <si>
    <t>RC0402FR-0720KL</t>
  </si>
  <si>
    <t>RCS040236K0FKED</t>
  </si>
  <si>
    <t>RC0402FR-07100KL</t>
  </si>
  <si>
    <t>RT0402FRE07510RL</t>
  </si>
  <si>
    <t>AF0402JR-071ML</t>
  </si>
  <si>
    <t>RC0402FR-07200RL</t>
  </si>
  <si>
    <t>RC0603FR-071ML</t>
  </si>
  <si>
    <t>SCR0603F69K8</t>
  </si>
  <si>
    <t>RC0805FR-073K09L</t>
  </si>
  <si>
    <t>RC0805FR-075K23L</t>
  </si>
  <si>
    <t>0402WGF4752TCE</t>
  </si>
  <si>
    <t>RC0603JR-070RL</t>
  </si>
  <si>
    <t>WSLP1206R0150FEA</t>
  </si>
  <si>
    <t>RT0805BRD0732K4L</t>
  </si>
  <si>
    <t>RT0805BRD0710K4L</t>
  </si>
  <si>
    <t>CRCW04021K00FKEDHP</t>
  </si>
  <si>
    <t>0402WGF8452TCE</t>
  </si>
  <si>
    <t>RC0603DR-07270KL</t>
  </si>
  <si>
    <t>RT0603BRD07120KL</t>
  </si>
  <si>
    <t>RK809-2</t>
  </si>
  <si>
    <t>KLMAG1JETD-B041</t>
  </si>
  <si>
    <t>K4B4G1646E-BCNB</t>
  </si>
  <si>
    <t>RV1126</t>
  </si>
  <si>
    <t>LM5116MHX/NOPB</t>
  </si>
  <si>
    <t>W25Q128JWSIQ</t>
  </si>
  <si>
    <t>SY8089AAAC</t>
  </si>
  <si>
    <t>PAM2312AABADJ</t>
  </si>
  <si>
    <t>SN74AHC1G04DBVR</t>
  </si>
  <si>
    <t>XDMCZLNDDF-0.032768MHZ</t>
  </si>
  <si>
    <t>X322524MOB4SI</t>
  </si>
  <si>
    <t>Manufacturer</t>
  </si>
  <si>
    <t>Yageo</t>
  </si>
  <si>
    <t>TDK</t>
  </si>
  <si>
    <t>Murata</t>
  </si>
  <si>
    <t>Kyocera AVX</t>
  </si>
  <si>
    <t>Samsung</t>
  </si>
  <si>
    <t>TECH PUBLIC</t>
  </si>
  <si>
    <t>Nexperia</t>
  </si>
  <si>
    <t>Wurth Electronics</t>
  </si>
  <si>
    <t>YJYCOIN</t>
  </si>
  <si>
    <t>Me-TECH</t>
  </si>
  <si>
    <t>Vishay Dale</t>
  </si>
  <si>
    <t>SunLED</t>
  </si>
  <si>
    <t>Infineon</t>
  </si>
  <si>
    <t>UMW</t>
  </si>
  <si>
    <t>VO</t>
  </si>
  <si>
    <t>Uniroyal</t>
  </si>
  <si>
    <t>UNI-ROYAL(Uniroyal Elec)</t>
  </si>
  <si>
    <t>Omron</t>
  </si>
  <si>
    <t>BZCN</t>
  </si>
  <si>
    <t>Rockchip</t>
  </si>
  <si>
    <t>TI National Semiconductor</t>
  </si>
  <si>
    <t>Winbond</t>
  </si>
  <si>
    <t>Silergy</t>
  </si>
  <si>
    <t>Diodes</t>
  </si>
  <si>
    <t>Texas Instruments</t>
  </si>
  <si>
    <t>TAITIEN Elec</t>
  </si>
  <si>
    <t>Yangxing Tech</t>
  </si>
  <si>
    <t>Seiko Epson</t>
  </si>
  <si>
    <t>LCSC Part Number</t>
  </si>
  <si>
    <t>C326057</t>
  </si>
  <si>
    <t>C109448</t>
  </si>
  <si>
    <t>C106254</t>
  </si>
  <si>
    <t>C541466</t>
  </si>
  <si>
    <t>C129131</t>
  </si>
  <si>
    <t>C106203</t>
  </si>
  <si>
    <t>C343036</t>
  </si>
  <si>
    <t>C326586</t>
  </si>
  <si>
    <t>C190183</t>
  </si>
  <si>
    <t>C106200</t>
  </si>
  <si>
    <t>C76947</t>
  </si>
  <si>
    <t>C343059</t>
  </si>
  <si>
    <t>C541464</t>
  </si>
  <si>
    <t>C541384</t>
  </si>
  <si>
    <t>C106204</t>
  </si>
  <si>
    <t>C277480</t>
  </si>
  <si>
    <t>C597022</t>
  </si>
  <si>
    <t>C2981733</t>
  </si>
  <si>
    <t>C113803</t>
  </si>
  <si>
    <t>C86816</t>
  </si>
  <si>
    <t>C107003</t>
  </si>
  <si>
    <t>C576726</t>
  </si>
  <si>
    <t>C15849</t>
  </si>
  <si>
    <t>C161305</t>
  </si>
  <si>
    <t>C393684</t>
  </si>
  <si>
    <t>C2936977</t>
  </si>
  <si>
    <t>C10037</t>
  </si>
  <si>
    <t>C2649308</t>
  </si>
  <si>
    <t>C20416183</t>
  </si>
  <si>
    <t>C2934937</t>
  </si>
  <si>
    <t>C845060</t>
  </si>
  <si>
    <t>C83511</t>
  </si>
  <si>
    <t>C19185922</t>
  </si>
  <si>
    <t>C106232</t>
  </si>
  <si>
    <t>C106231</t>
  </si>
  <si>
    <t>C852501</t>
  </si>
  <si>
    <t>C852538</t>
  </si>
  <si>
    <t>C114762</t>
  </si>
  <si>
    <t>C93943</t>
  </si>
  <si>
    <t>C60490</t>
  </si>
  <si>
    <t>C114765</t>
  </si>
  <si>
    <t>C105871</t>
  </si>
  <si>
    <t>C861631</t>
  </si>
  <si>
    <t>C114625</t>
  </si>
  <si>
    <t>C155745</t>
  </si>
  <si>
    <t>C100044</t>
  </si>
  <si>
    <t>C93942</t>
  </si>
  <si>
    <t>C60491</t>
  </si>
  <si>
    <t>C854355</t>
  </si>
  <si>
    <t>C144054</t>
  </si>
  <si>
    <t>C114764</t>
  </si>
  <si>
    <t>C105578</t>
  </si>
  <si>
    <t>C3016381</t>
  </si>
  <si>
    <t>C274002</t>
  </si>
  <si>
    <t>C274009</t>
  </si>
  <si>
    <t>C25896</t>
  </si>
  <si>
    <t>C95177</t>
  </si>
  <si>
    <t>C844911</t>
  </si>
  <si>
    <t>C865406</t>
  </si>
  <si>
    <t>C865135</t>
  </si>
  <si>
    <t>C313354</t>
  </si>
  <si>
    <t>C26988</t>
  </si>
  <si>
    <t>C724006</t>
  </si>
  <si>
    <t>C705720</t>
  </si>
  <si>
    <t>C231329</t>
  </si>
  <si>
    <t>C2888427</t>
  </si>
  <si>
    <t>C2940552</t>
  </si>
  <si>
    <t>C499919</t>
  </si>
  <si>
    <t>C2803248</t>
  </si>
  <si>
    <t>C2859017</t>
  </si>
  <si>
    <t>C13755</t>
  </si>
  <si>
    <t>C2763561</t>
  </si>
  <si>
    <t>C78988</t>
  </si>
  <si>
    <t>C157537</t>
  </si>
  <si>
    <t>C521573</t>
  </si>
  <si>
    <t>C70590</t>
  </si>
  <si>
    <t>C255883</t>
  </si>
  <si>
    <t>10uF</t>
  </si>
  <si>
    <t>22uF</t>
  </si>
  <si>
    <t>1uF</t>
  </si>
  <si>
    <t>4.7uF</t>
  </si>
  <si>
    <t>0.1uF</t>
  </si>
  <si>
    <t>22PF</t>
  </si>
  <si>
    <t>2.2uF</t>
  </si>
  <si>
    <t>100nF</t>
  </si>
  <si>
    <t>DNP</t>
  </si>
  <si>
    <t>1nF</t>
  </si>
  <si>
    <t>150pF</t>
  </si>
  <si>
    <t>15pF</t>
  </si>
  <si>
    <t>22pF</t>
  </si>
  <si>
    <t>270pF</t>
  </si>
  <si>
    <t>0.01uF</t>
  </si>
  <si>
    <t>12pF</t>
  </si>
  <si>
    <t>390pF</t>
  </si>
  <si>
    <t>47pF</t>
  </si>
  <si>
    <t>300R</t>
  </si>
  <si>
    <t>470nH</t>
  </si>
  <si>
    <t>2.2uH</t>
  </si>
  <si>
    <t>6.8uH</t>
  </si>
  <si>
    <t>100R</t>
  </si>
  <si>
    <t>0R</t>
  </si>
  <si>
    <t>120K</t>
  </si>
  <si>
    <t>150K</t>
  </si>
  <si>
    <t>2.2K</t>
  </si>
  <si>
    <t>47K</t>
  </si>
  <si>
    <t>10K</t>
  </si>
  <si>
    <t>22R</t>
  </si>
  <si>
    <t>4.7K</t>
  </si>
  <si>
    <t>110K</t>
  </si>
  <si>
    <t>49.9R</t>
  </si>
  <si>
    <t>240R</t>
  </si>
  <si>
    <t>20K</t>
  </si>
  <si>
    <t>36K</t>
  </si>
  <si>
    <t>100K</t>
  </si>
  <si>
    <t>510R</t>
  </si>
  <si>
    <t>1M</t>
  </si>
  <si>
    <t>200R</t>
  </si>
  <si>
    <t>69.8K</t>
  </si>
  <si>
    <t>3.09K</t>
  </si>
  <si>
    <t>5.23K</t>
  </si>
  <si>
    <t>47.5K</t>
  </si>
  <si>
    <t>15mR</t>
  </si>
  <si>
    <t>32.4K</t>
  </si>
  <si>
    <t>10.4K</t>
  </si>
  <si>
    <t>1K</t>
  </si>
  <si>
    <t>84.5k</t>
  </si>
  <si>
    <t>270K</t>
  </si>
  <si>
    <t>32.768kHz</t>
  </si>
  <si>
    <t>24MHZ</t>
  </si>
  <si>
    <t>25MHz</t>
  </si>
  <si>
    <t>Quantity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</si>
  <si>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</si>
  <si>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</si>
  <si>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</si>
  <si>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</si>
  <si>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</si>
  <si>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</si>
  <si>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</si>
  <si>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</si>
  <si>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LCSC</t>
  </si>
  <si>
    <t>-</t>
  </si>
  <si>
    <t>IND-0603</t>
  </si>
  <si>
    <t>Custom</t>
  </si>
  <si>
    <t>DO NOT PLACE</t>
  </si>
  <si>
    <t>GRM1555C1H391JA01D</t>
  </si>
  <si>
    <t>C76967</t>
  </si>
  <si>
    <t>CHipsmall</t>
  </si>
  <si>
    <t>NCD0402C1</t>
  </si>
  <si>
    <t>C130722</t>
  </si>
  <si>
    <t>NCD0402Y1</t>
  </si>
  <si>
    <t>C130721</t>
  </si>
  <si>
    <t>-------</t>
  </si>
  <si>
    <t>C114755</t>
  </si>
  <si>
    <t>C21189</t>
  </si>
  <si>
    <t>0603WAF0000T5E</t>
  </si>
  <si>
    <t>ERJ2RKF3602X</t>
  </si>
  <si>
    <t>C409031</t>
  </si>
  <si>
    <t>C7465</t>
  </si>
  <si>
    <t xml:space="preserve">Power Section - Buck_LDO / RK809 / Processor - RV1126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</si>
</sst>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2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164" fontId="5" fillId="2" borderId="3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165" fontId="3" fillId="3" borderId="2" xfId="0" quotePrefix="1" applyNumberFormat="1" applyFont="1" applyFill="1" applyBorder="1" applyAlignment="1">
      <alignment horizontal="center" vertical="center" wrapText="1"/>
    </xf>
    <xf numFmtId="165" fontId="3" fillId="3" borderId="6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7" fillId="0" borderId="0" xfId="0" applyFont="1"/>
    <xf numFmtId="0" fontId="9" fillId="2" borderId="3" xfId="1" applyFill="1" applyBorder="1" applyAlignment="1">
      <alignment horizontal="center" vertical="center" wrapText="1"/>
    </xf>
    <xf numFmtId="0" fontId="9" fillId="2" borderId="4" xfId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5" fillId="2" borderId="3" xfId="0" quotePrefix="1" applyFont="1" applyFill="1" applyBorder="1" applyAlignment="1">
      <alignment horizontal="center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9" fillId="0" borderId="0" xfId="1" applyAlignment="1">
      <alignment horizontal="center" vertical="center"/>
    </xf>
    <xf numFmtId="0" fontId="1" fillId="2" borderId="0" xfId="0" applyFont="1" applyFill="1" applyBorder="1"/>
    <xf numFmtId="0" fontId="1" fillId="2" borderId="0" xfId="0" applyFont="1" applyFill="1" applyBorder="1" applyAlignment="1">
      <alignment horizontal="center"/>
    </xf>
    <xf numFmtId="0" fontId="8" fillId="3" borderId="5" xfId="0" applyFont="1" applyFill="1" applyBorder="1" applyAlignment="1" applyProtection="1">
      <alignment horizontal="center" vertical="top"/>
      <protection locked="0"/>
    </xf>
    <xf numFmtId="0" fontId="8" fillId="3" borderId="1" xfId="0" applyFont="1" applyFill="1" applyBorder="1" applyAlignment="1" applyProtection="1">
      <alignment horizontal="center" vertical="top"/>
      <protection locked="0"/>
    </xf>
    <xf numFmtId="0" fontId="12" fillId="5" borderId="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witching-Diodes_Nexperia-BAS516-115_C10037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27" Type="http://schemas.openxmlformats.org/officeDocument/2006/relationships/hyperlink" Target="https://www.chipsmall.com/Products/742792641_11022153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80" Type="http://schemas.openxmlformats.org/officeDocument/2006/relationships/hyperlink" Target="https://www.lcsc.com/product-detail/Crystals_Seiko-Epson-Q22FA12800090_C255883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70" Type="http://schemas.openxmlformats.org/officeDocument/2006/relationships/hyperlink" Target="https://www.lcsc.com/product-detail/Tactile-Switches_BZCN-TSA016A2518A_C2888427.html" TargetMode="External"/><Relationship Id="rId75" Type="http://schemas.openxmlformats.org/officeDocument/2006/relationships/hyperlink" Target="https://www.lcsc.com/product-detail/NOR-FLASH_Winbond-Elec-W25Q128JWSIQ_C2763561.html" TargetMode="External"/><Relationship Id="rId83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71" Type="http://schemas.openxmlformats.org/officeDocument/2006/relationships/hyperlink" Target="https://www.lcsc.com/product-detail/eMMC_Samsung-KLMAG1JETD-B041_C499919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07"/>
  <sheetViews>
    <sheetView tabSelected="1" topLeftCell="A69" workbookViewId="0">
      <selection activeCell="I63" sqref="I63:I93"/>
    </sheetView>
  </sheetViews>
  <sheetFormatPr defaultRowHeight="15" x14ac:dyDescent="0.25"/>
  <cols>
    <col min="2" max="2" width="3" style="3" bestFit="1" customWidth="1"/>
    <col min="3" max="3" width="18" style="3" bestFit="1" customWidth="1"/>
    <col min="4" max="4" width="27.42578125" customWidth="1"/>
    <col min="5" max="5" width="30.85546875" customWidth="1"/>
    <col min="6" max="6" width="18.42578125" bestFit="1" customWidth="1"/>
    <col min="7" max="7" width="25.28515625" bestFit="1" customWidth="1"/>
    <col min="8" max="8" width="20.710937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27" t="s">
        <v>486</v>
      </c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4"/>
      <c r="Q2" s="24"/>
      <c r="R2" s="24"/>
    </row>
    <row r="3" spans="1:18" ht="15.75" thickBot="1" x14ac:dyDescent="0.3">
      <c r="A3" s="1"/>
      <c r="B3" s="2"/>
      <c r="C3" s="2"/>
      <c r="D3" s="23"/>
      <c r="E3" s="23"/>
      <c r="F3" s="23"/>
      <c r="G3" s="23"/>
      <c r="H3" s="23"/>
      <c r="I3" s="23"/>
      <c r="J3" s="23"/>
      <c r="K3" s="24"/>
      <c r="L3" s="24"/>
      <c r="M3" s="24"/>
      <c r="N3" s="24"/>
      <c r="O3" s="24"/>
      <c r="P3" s="24"/>
      <c r="Q3" s="24"/>
      <c r="R3" s="24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461</v>
      </c>
      <c r="N4" s="4" t="s">
        <v>462</v>
      </c>
      <c r="O4" s="4" t="s">
        <v>463</v>
      </c>
      <c r="P4" s="4" t="s">
        <v>464</v>
      </c>
      <c r="Q4" s="4" t="s">
        <v>465</v>
      </c>
      <c r="R4" s="4" t="s">
        <v>466</v>
      </c>
    </row>
    <row r="5" spans="1:18" ht="48" x14ac:dyDescent="0.25">
      <c r="A5" s="1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9" t="s">
        <v>479</v>
      </c>
      <c r="J5" s="5" t="s">
        <v>328</v>
      </c>
      <c r="K5" s="5" t="s">
        <v>405</v>
      </c>
      <c r="L5" s="5">
        <v>23</v>
      </c>
      <c r="M5" s="5">
        <f>L5*5</f>
        <v>115</v>
      </c>
      <c r="N5" s="5">
        <v>120</v>
      </c>
      <c r="O5" s="16" t="s">
        <v>467</v>
      </c>
      <c r="P5" s="6">
        <v>2.7099999999999999E-2</v>
      </c>
      <c r="Q5" s="6">
        <f>P5*N5</f>
        <v>3.2519999999999998</v>
      </c>
      <c r="R5" s="5"/>
    </row>
    <row r="6" spans="1:18" ht="24" x14ac:dyDescent="0.25">
      <c r="A6" s="1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9" t="s">
        <v>479</v>
      </c>
      <c r="J6" s="11" t="s">
        <v>329</v>
      </c>
      <c r="K6" s="11" t="s">
        <v>406</v>
      </c>
      <c r="L6" s="11">
        <v>10</v>
      </c>
      <c r="M6" s="11">
        <f t="shared" ref="M6" si="1">L6*5</f>
        <v>50</v>
      </c>
      <c r="N6" s="11">
        <v>100</v>
      </c>
      <c r="O6" s="17" t="s">
        <v>467</v>
      </c>
      <c r="P6" s="12">
        <v>1.9300000000000001E-2</v>
      </c>
      <c r="Q6" s="12">
        <f t="shared" ref="Q6" si="2">P6*N6</f>
        <v>1.9300000000000002</v>
      </c>
      <c r="R6" s="11"/>
    </row>
    <row r="7" spans="1:18" ht="60" x14ac:dyDescent="0.25">
      <c r="A7" s="1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9" t="s">
        <v>479</v>
      </c>
      <c r="J7" s="5" t="s">
        <v>330</v>
      </c>
      <c r="K7" s="5" t="s">
        <v>407</v>
      </c>
      <c r="L7" s="5">
        <v>30</v>
      </c>
      <c r="M7" s="5">
        <f>L7*5</f>
        <v>150</v>
      </c>
      <c r="N7" s="5">
        <v>100</v>
      </c>
      <c r="O7" s="17" t="s">
        <v>467</v>
      </c>
      <c r="P7" s="6">
        <v>2.5999999999999999E-3</v>
      </c>
      <c r="Q7" s="6">
        <f>P7*N7</f>
        <v>0.26</v>
      </c>
      <c r="R7" s="5"/>
    </row>
    <row r="8" spans="1:18" x14ac:dyDescent="0.25">
      <c r="A8" s="1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9" t="s">
        <v>479</v>
      </c>
      <c r="J8" s="11" t="s">
        <v>331</v>
      </c>
      <c r="K8" s="11" t="s">
        <v>408</v>
      </c>
      <c r="L8" s="11">
        <v>1</v>
      </c>
      <c r="M8" s="11">
        <f t="shared" ref="M8" si="3">L8*5</f>
        <v>5</v>
      </c>
      <c r="N8" s="11">
        <v>50</v>
      </c>
      <c r="O8" s="17" t="s">
        <v>467</v>
      </c>
      <c r="P8" s="12">
        <v>1.0800000000000001E-2</v>
      </c>
      <c r="Q8" s="12">
        <f t="shared" ref="Q8" si="4">P8*N8</f>
        <v>0.54</v>
      </c>
      <c r="R8" s="11"/>
    </row>
    <row r="9" spans="1:18" ht="36" x14ac:dyDescent="0.25">
      <c r="A9" s="1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9" t="s">
        <v>479</v>
      </c>
      <c r="J9" s="5" t="s">
        <v>332</v>
      </c>
      <c r="K9" s="5" t="s">
        <v>409</v>
      </c>
      <c r="L9" s="5">
        <v>21</v>
      </c>
      <c r="M9" s="5">
        <f>L9*5</f>
        <v>105</v>
      </c>
      <c r="N9" s="5">
        <v>200</v>
      </c>
      <c r="O9" s="17" t="s">
        <v>467</v>
      </c>
      <c r="P9" s="6">
        <v>1.1000000000000001E-3</v>
      </c>
      <c r="Q9" s="6">
        <f>P9*N9</f>
        <v>0.22</v>
      </c>
      <c r="R9" s="5"/>
    </row>
    <row r="10" spans="1:18" x14ac:dyDescent="0.25">
      <c r="A10" s="1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9" t="s">
        <v>479</v>
      </c>
      <c r="J10" s="11" t="s">
        <v>333</v>
      </c>
      <c r="K10" s="11" t="s">
        <v>410</v>
      </c>
      <c r="L10" s="11">
        <v>2</v>
      </c>
      <c r="M10" s="11">
        <f t="shared" ref="M10" si="5">L10*5</f>
        <v>10</v>
      </c>
      <c r="N10" s="11">
        <v>100</v>
      </c>
      <c r="O10" s="17" t="s">
        <v>467</v>
      </c>
      <c r="P10" s="12">
        <v>1E-3</v>
      </c>
      <c r="Q10" s="12">
        <f t="shared" ref="Q10" si="6">P10*N10</f>
        <v>0.1</v>
      </c>
      <c r="R10" s="11"/>
    </row>
    <row r="11" spans="1:18" x14ac:dyDescent="0.25">
      <c r="A11" s="1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9" t="s">
        <v>479</v>
      </c>
      <c r="J11" s="5" t="s">
        <v>334</v>
      </c>
      <c r="K11" s="5" t="s">
        <v>411</v>
      </c>
      <c r="L11" s="5">
        <v>3</v>
      </c>
      <c r="M11" s="5">
        <f>L11*5</f>
        <v>15</v>
      </c>
      <c r="N11" s="5">
        <v>20</v>
      </c>
      <c r="O11" s="17" t="s">
        <v>467</v>
      </c>
      <c r="P11" s="6">
        <v>2.8500000000000001E-2</v>
      </c>
      <c r="Q11" s="6">
        <f>P11*N11</f>
        <v>0.57000000000000006</v>
      </c>
      <c r="R11" s="5"/>
    </row>
    <row r="12" spans="1:18" x14ac:dyDescent="0.25">
      <c r="A12" s="1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9" t="s">
        <v>479</v>
      </c>
      <c r="J12" s="11" t="s">
        <v>335</v>
      </c>
      <c r="K12" s="11" t="s">
        <v>408</v>
      </c>
      <c r="L12" s="11">
        <v>4</v>
      </c>
      <c r="M12" s="11">
        <f t="shared" ref="M12" si="7">L12*5</f>
        <v>20</v>
      </c>
      <c r="N12" s="11">
        <v>50</v>
      </c>
      <c r="O12" s="17" t="s">
        <v>467</v>
      </c>
      <c r="P12" s="12">
        <v>1.0800000000000001E-2</v>
      </c>
      <c r="Q12" s="12">
        <f t="shared" ref="Q12" si="8">P12*N12</f>
        <v>0.54</v>
      </c>
      <c r="R12" s="11"/>
    </row>
    <row r="13" spans="1:18" ht="96" x14ac:dyDescent="0.25">
      <c r="A13" s="1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9" t="s">
        <v>479</v>
      </c>
      <c r="J13" s="5" t="s">
        <v>336</v>
      </c>
      <c r="K13" s="5" t="s">
        <v>412</v>
      </c>
      <c r="L13" s="5">
        <v>45</v>
      </c>
      <c r="M13" s="5">
        <f>L13*5</f>
        <v>225</v>
      </c>
      <c r="N13" s="5">
        <v>300</v>
      </c>
      <c r="O13" s="17" t="s">
        <v>467</v>
      </c>
      <c r="P13" s="6">
        <v>1.1000000000000001E-3</v>
      </c>
      <c r="Q13" s="6">
        <f>P13*N13</f>
        <v>0.33</v>
      </c>
      <c r="R13" s="5"/>
    </row>
    <row r="14" spans="1:18" x14ac:dyDescent="0.25">
      <c r="A14" s="1"/>
      <c r="B14" s="8">
        <f t="shared" si="0"/>
        <v>10</v>
      </c>
      <c r="C14" s="13" t="s">
        <v>4</v>
      </c>
      <c r="D14" s="18" t="s">
        <v>26</v>
      </c>
      <c r="E14" s="18" t="s">
        <v>116</v>
      </c>
      <c r="F14" s="18" t="s">
        <v>192</v>
      </c>
      <c r="G14" s="18" t="s">
        <v>230</v>
      </c>
      <c r="H14" s="18" t="s">
        <v>299</v>
      </c>
      <c r="I14" s="19" t="s">
        <v>479</v>
      </c>
      <c r="J14" s="18" t="s">
        <v>337</v>
      </c>
      <c r="K14" s="18" t="s">
        <v>413</v>
      </c>
      <c r="L14" s="18">
        <v>1</v>
      </c>
      <c r="M14" s="18">
        <f t="shared" ref="M14" si="9">L14*5</f>
        <v>5</v>
      </c>
      <c r="N14" s="18" t="s">
        <v>468</v>
      </c>
      <c r="O14" s="18" t="s">
        <v>468</v>
      </c>
      <c r="P14" s="20" t="s">
        <v>468</v>
      </c>
      <c r="Q14" s="20" t="s">
        <v>468</v>
      </c>
      <c r="R14" s="21" t="s">
        <v>471</v>
      </c>
    </row>
    <row r="15" spans="1:18" ht="24" x14ac:dyDescent="0.25">
      <c r="A15" s="1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9" t="s">
        <v>479</v>
      </c>
      <c r="J15" s="5" t="s">
        <v>338</v>
      </c>
      <c r="K15" s="5" t="s">
        <v>414</v>
      </c>
      <c r="L15" s="5">
        <v>8</v>
      </c>
      <c r="M15" s="5">
        <f>L15*5</f>
        <v>40</v>
      </c>
      <c r="N15" s="5">
        <v>100</v>
      </c>
      <c r="O15" s="17" t="s">
        <v>467</v>
      </c>
      <c r="P15" s="6">
        <v>4.7999999999999996E-3</v>
      </c>
      <c r="Q15" s="6">
        <f>P15*N15</f>
        <v>0.48</v>
      </c>
      <c r="R15" s="5"/>
    </row>
    <row r="16" spans="1:18" x14ac:dyDescent="0.25">
      <c r="A16" s="1"/>
      <c r="B16" s="8">
        <f t="shared" si="0"/>
        <v>12</v>
      </c>
      <c r="C16" s="13" t="s">
        <v>4</v>
      </c>
      <c r="D16" s="18" t="s">
        <v>28</v>
      </c>
      <c r="E16" s="18" t="s">
        <v>117</v>
      </c>
      <c r="F16" s="18" t="s">
        <v>192</v>
      </c>
      <c r="G16" s="18" t="s">
        <v>231</v>
      </c>
      <c r="H16" s="18" t="s">
        <v>301</v>
      </c>
      <c r="I16" s="19" t="s">
        <v>479</v>
      </c>
      <c r="J16" s="18" t="s">
        <v>338</v>
      </c>
      <c r="K16" s="18" t="s">
        <v>413</v>
      </c>
      <c r="L16" s="18">
        <v>1</v>
      </c>
      <c r="M16" s="18">
        <f t="shared" ref="M16" si="10">L16*5</f>
        <v>5</v>
      </c>
      <c r="N16" s="18" t="s">
        <v>468</v>
      </c>
      <c r="O16" s="18" t="s">
        <v>468</v>
      </c>
      <c r="P16" s="20" t="s">
        <v>468</v>
      </c>
      <c r="Q16" s="20" t="s">
        <v>468</v>
      </c>
      <c r="R16" s="21" t="s">
        <v>471</v>
      </c>
    </row>
    <row r="17" spans="1:18" x14ac:dyDescent="0.25">
      <c r="A17" s="1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9" t="s">
        <v>479</v>
      </c>
      <c r="J17" s="5" t="s">
        <v>339</v>
      </c>
      <c r="K17" s="5" t="s">
        <v>414</v>
      </c>
      <c r="L17" s="5">
        <v>1</v>
      </c>
      <c r="M17" s="5">
        <f>L17*5</f>
        <v>5</v>
      </c>
      <c r="N17" s="5">
        <v>50</v>
      </c>
      <c r="O17" s="17" t="s">
        <v>467</v>
      </c>
      <c r="P17" s="6">
        <v>1.7100000000000001E-2</v>
      </c>
      <c r="Q17" s="6">
        <f>P17*N17</f>
        <v>0.85499999999999998</v>
      </c>
      <c r="R17" s="5"/>
    </row>
    <row r="18" spans="1:18" x14ac:dyDescent="0.25">
      <c r="A18" s="1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9" t="s">
        <v>479</v>
      </c>
      <c r="J18" s="11" t="s">
        <v>340</v>
      </c>
      <c r="K18" s="11" t="s">
        <v>412</v>
      </c>
      <c r="L18" s="11">
        <v>1</v>
      </c>
      <c r="M18" s="11">
        <f t="shared" ref="M18" si="11">L18*5</f>
        <v>5</v>
      </c>
      <c r="N18" s="11">
        <v>100</v>
      </c>
      <c r="O18" s="17" t="s">
        <v>467</v>
      </c>
      <c r="P18" s="12">
        <v>1.6000000000000001E-3</v>
      </c>
      <c r="Q18" s="12">
        <f t="shared" ref="Q18" si="12">P18*N18</f>
        <v>0.16</v>
      </c>
      <c r="R18" s="11"/>
    </row>
    <row r="19" spans="1:18" x14ac:dyDescent="0.25">
      <c r="A19" s="1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9" t="s">
        <v>479</v>
      </c>
      <c r="J19" s="5" t="s">
        <v>341</v>
      </c>
      <c r="K19" s="5" t="s">
        <v>415</v>
      </c>
      <c r="L19" s="5">
        <v>2</v>
      </c>
      <c r="M19" s="5">
        <f>L19*5</f>
        <v>10</v>
      </c>
      <c r="N19" s="5">
        <v>100</v>
      </c>
      <c r="O19" s="17" t="s">
        <v>467</v>
      </c>
      <c r="P19" s="6">
        <v>1.1000000000000001E-3</v>
      </c>
      <c r="Q19" s="6">
        <f>P19*N19</f>
        <v>0.11</v>
      </c>
      <c r="R19" s="5"/>
    </row>
    <row r="20" spans="1:18" x14ac:dyDescent="0.25">
      <c r="A20" s="1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9" t="s">
        <v>479</v>
      </c>
      <c r="J20" s="11" t="s">
        <v>342</v>
      </c>
      <c r="K20" s="11" t="s">
        <v>412</v>
      </c>
      <c r="L20" s="11">
        <v>1</v>
      </c>
      <c r="M20" s="11">
        <f t="shared" ref="M20" si="13">L20*5</f>
        <v>5</v>
      </c>
      <c r="N20" s="5">
        <v>100</v>
      </c>
      <c r="O20" s="17" t="s">
        <v>467</v>
      </c>
      <c r="P20" s="6">
        <v>1E-3</v>
      </c>
      <c r="Q20" s="12">
        <f t="shared" ref="Q20" si="14">P20*N20</f>
        <v>0.1</v>
      </c>
      <c 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9" t="s">
        <v>479</v>
      </c>
      <c r="J21" s="5" t="s">
        <v>343</v>
      </c>
      <c r="K21" s="5" t="s">
        <v>416</v>
      </c>
      <c r="L21" s="5">
        <v>2</v>
      </c>
      <c r="M21" s="5">
        <f>L21*5</f>
        <v>10</v>
      </c>
      <c r="N21" s="5">
        <v>100</v>
      </c>
      <c r="O21" s="17" t="s">
        <v>467</v>
      </c>
      <c r="P21" s="6">
        <v>1E-3</v>
      </c>
      <c r="Q21" s="6">
        <f>P21*N21</f>
        <v>0.1</v>
      </c>
      <c r="R21" s="5"/>
    </row>
    <row r="22" spans="1:18" x14ac:dyDescent="0.25">
      <c r="A22" s="1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9" t="s">
        <v>479</v>
      </c>
      <c r="J22" s="11" t="s">
        <v>344</v>
      </c>
      <c r="K22" s="11" t="s">
        <v>417</v>
      </c>
      <c r="L22" s="11">
        <v>1</v>
      </c>
      <c r="M22" s="11">
        <f t="shared" ref="M22" si="15">L22*5</f>
        <v>5</v>
      </c>
      <c r="N22" s="11">
        <v>100</v>
      </c>
      <c r="O22" s="17" t="s">
        <v>467</v>
      </c>
      <c r="P22" s="12">
        <v>1.01E-2</v>
      </c>
      <c r="Q22" s="12">
        <f t="shared" ref="Q22" si="16">P22*N22</f>
        <v>1.01</v>
      </c>
      <c r="R22" s="11"/>
    </row>
    <row r="23" spans="1:18" x14ac:dyDescent="0.25">
      <c r="A23" s="1"/>
      <c r="B23" s="7">
        <f>ROW(B23) - ROW($B$4)</f>
        <v>19</v>
      </c>
      <c r="C23" s="13" t="s">
        <v>4</v>
      </c>
      <c r="D23" s="18" t="s">
        <v>35</v>
      </c>
      <c r="E23" s="18" t="s">
        <v>115</v>
      </c>
      <c r="F23" s="18" t="s">
        <v>193</v>
      </c>
      <c r="G23" s="18" t="s">
        <v>229</v>
      </c>
      <c r="H23" s="18" t="s">
        <v>299</v>
      </c>
      <c r="I23" s="19" t="s">
        <v>479</v>
      </c>
      <c r="J23" s="18" t="s">
        <v>336</v>
      </c>
      <c r="K23" s="18" t="s">
        <v>413</v>
      </c>
      <c r="L23" s="18">
        <v>3</v>
      </c>
      <c r="M23" s="18">
        <f>L23*5</f>
        <v>15</v>
      </c>
      <c r="N23" s="18" t="s">
        <v>468</v>
      </c>
      <c r="O23" s="18" t="s">
        <v>468</v>
      </c>
      <c r="P23" s="20" t="s">
        <v>468</v>
      </c>
      <c r="Q23" s="20" t="s">
        <v>468</v>
      </c>
      <c r="R23" s="21" t="s">
        <v>471</v>
      </c>
    </row>
    <row r="24" spans="1:18" x14ac:dyDescent="0.25">
      <c r="A24" s="1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9" t="s">
        <v>479</v>
      </c>
      <c r="J24" s="11" t="s">
        <v>345</v>
      </c>
      <c r="K24" s="11" t="s">
        <v>411</v>
      </c>
      <c r="L24" s="11">
        <v>2</v>
      </c>
      <c r="M24" s="11">
        <f t="shared" ref="M24" si="17">L24*5</f>
        <v>10</v>
      </c>
      <c r="N24" s="11">
        <v>15</v>
      </c>
      <c r="O24" s="17" t="s">
        <v>467</v>
      </c>
      <c r="P24" s="12">
        <v>0.17419999999999999</v>
      </c>
      <c r="Q24" s="12">
        <f t="shared" ref="Q24" si="18">P24*N24</f>
        <v>2.613</v>
      </c>
      <c r="R24" s="11"/>
    </row>
    <row r="25" spans="1:18" x14ac:dyDescent="0.25">
      <c r="A25" s="1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9" t="s">
        <v>479</v>
      </c>
      <c r="J25" s="5" t="s">
        <v>346</v>
      </c>
      <c r="K25" s="5" t="s">
        <v>409</v>
      </c>
      <c r="L25" s="5">
        <v>2</v>
      </c>
      <c r="M25" s="5">
        <f>L25*5</f>
        <v>10</v>
      </c>
      <c r="N25" s="5">
        <v>100</v>
      </c>
      <c r="O25" s="17" t="s">
        <v>467</v>
      </c>
      <c r="P25" s="6">
        <v>4.8999999999999998E-3</v>
      </c>
      <c r="Q25" s="6">
        <f>P25*N25</f>
        <v>0.49</v>
      </c>
      <c r="R25" s="5"/>
    </row>
    <row r="26" spans="1:18" x14ac:dyDescent="0.25">
      <c r="A26" s="1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9" t="s">
        <v>479</v>
      </c>
      <c r="J26" s="11" t="s">
        <v>347</v>
      </c>
      <c r="K26" s="11" t="s">
        <v>406</v>
      </c>
      <c r="L26" s="11">
        <v>2</v>
      </c>
      <c r="M26" s="11">
        <f t="shared" ref="M26" si="19">L26*5</f>
        <v>10</v>
      </c>
      <c r="N26" s="5">
        <v>20</v>
      </c>
      <c r="O26" s="17" t="s">
        <v>467</v>
      </c>
      <c r="P26" s="6">
        <v>4.2599999999999999E-2</v>
      </c>
      <c r="Q26" s="12">
        <f t="shared" ref="Q26" si="20">P26*N26</f>
        <v>0.85199999999999998</v>
      </c>
      <c r="R26" s="11"/>
    </row>
    <row r="27" spans="1:18" x14ac:dyDescent="0.25">
      <c r="A27" s="1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9" t="s">
        <v>479</v>
      </c>
      <c r="J27" s="5" t="s">
        <v>348</v>
      </c>
      <c r="K27" s="5" t="s">
        <v>418</v>
      </c>
      <c r="L27" s="5">
        <v>1</v>
      </c>
      <c r="M27" s="5">
        <f>L27*5</f>
        <v>5</v>
      </c>
      <c r="N27" s="11">
        <v>100</v>
      </c>
      <c r="O27" s="17" t="s">
        <v>467</v>
      </c>
      <c r="P27" s="12">
        <v>2.5000000000000001E-3</v>
      </c>
      <c r="Q27" s="6">
        <f>P27*N27</f>
        <v>0.25</v>
      </c>
      <c r="R27" s="5"/>
    </row>
    <row r="28" spans="1:18" x14ac:dyDescent="0.25">
      <c r="A28" s="1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9" t="s">
        <v>479</v>
      </c>
      <c r="J28" s="11" t="s">
        <v>349</v>
      </c>
      <c r="K28" s="11" t="s">
        <v>419</v>
      </c>
      <c r="L28" s="11">
        <v>1</v>
      </c>
      <c r="M28" s="11">
        <f t="shared" ref="M28" si="21">L28*5</f>
        <v>5</v>
      </c>
      <c r="N28" s="5">
        <v>100</v>
      </c>
      <c r="O28" s="17" t="s">
        <v>467</v>
      </c>
      <c r="P28" s="6">
        <v>1.1000000000000001E-3</v>
      </c>
      <c r="Q28" s="12">
        <f t="shared" ref="Q28" si="22">P28*N28</f>
        <v>0.11</v>
      </c>
      <c r="R28" s="11"/>
    </row>
    <row r="29" spans="1:18" x14ac:dyDescent="0.25">
      <c r="A29" s="1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9" t="s">
        <v>479</v>
      </c>
      <c r="J29" s="5" t="s">
        <v>350</v>
      </c>
      <c r="K29" s="5" t="s">
        <v>407</v>
      </c>
      <c r="L29" s="5">
        <v>1</v>
      </c>
      <c r="M29" s="5">
        <f>L29*5</f>
        <v>5</v>
      </c>
      <c r="N29" s="11">
        <v>100</v>
      </c>
      <c r="O29" s="17" t="s">
        <v>467</v>
      </c>
      <c r="P29" s="12">
        <v>4.4999999999999997E-3</v>
      </c>
      <c r="Q29" s="6">
        <f>P29*N29</f>
        <v>0.44999999999999996</v>
      </c>
      <c r="R29" s="5"/>
    </row>
    <row r="30" spans="1:18" x14ac:dyDescent="0.25">
      <c r="A30" s="1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9" t="s">
        <v>479</v>
      </c>
      <c r="J30" s="11" t="s">
        <v>351</v>
      </c>
      <c r="K30" s="11" t="s">
        <v>420</v>
      </c>
      <c r="L30" s="11">
        <v>1</v>
      </c>
      <c r="M30" s="11">
        <f t="shared" ref="M30" si="23">L30*5</f>
        <v>5</v>
      </c>
      <c r="N30" s="5">
        <v>10</v>
      </c>
      <c r="O30" s="17" t="s">
        <v>467</v>
      </c>
      <c r="P30" s="6">
        <v>3.6299999999999999E-2</v>
      </c>
      <c r="Q30" s="12">
        <f t="shared" ref="Q30" si="24">P30*N30</f>
        <v>0.36299999999999999</v>
      </c>
      <c r="R30" s="11"/>
    </row>
    <row r="31" spans="1:18" x14ac:dyDescent="0.25">
      <c r="A31" s="1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8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>L31*5</f>
        <v>5</v>
      </c>
      <c r="N31" s="11">
        <v>100</v>
      </c>
      <c r="O31" s="17" t="s">
        <v>467</v>
      </c>
      <c r="P31" s="12">
        <v>3.3E-3</v>
      </c>
      <c r="Q31" s="6">
        <f>P31*N31</f>
        <v>0.33</v>
      </c>
      <c r="R31" s="5"/>
    </row>
    <row r="32" spans="1:18" x14ac:dyDescent="0.25">
      <c r="A32" s="1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9" t="s">
        <v>479</v>
      </c>
      <c r="J32" s="11" t="s">
        <v>352</v>
      </c>
      <c r="K32" s="11" t="s">
        <v>422</v>
      </c>
      <c r="L32" s="11">
        <v>2</v>
      </c>
      <c r="M32" s="11">
        <f t="shared" ref="M32" si="25">L32*5</f>
        <v>10</v>
      </c>
      <c r="N32" s="5">
        <v>20</v>
      </c>
      <c r="O32" s="17" t="s">
        <v>467</v>
      </c>
      <c r="P32" s="6">
        <v>2.1100000000000001E-2</v>
      </c>
      <c r="Q32" s="12">
        <f t="shared" ref="Q32" si="26">P32*N32</f>
        <v>0.42200000000000004</v>
      </c>
      <c r="R32" s="11"/>
    </row>
    <row r="33" spans="1:18" ht="24" x14ac:dyDescent="0.25">
      <c r="A33" s="1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9" t="s">
        <v>479</v>
      </c>
      <c r="J33" s="5" t="s">
        <v>353</v>
      </c>
      <c r="K33" s="5" t="s">
        <v>468</v>
      </c>
      <c r="L33" s="5">
        <v>3</v>
      </c>
      <c r="M33" s="5">
        <f>L33*5</f>
        <v>15</v>
      </c>
      <c r="N33" s="11">
        <v>50</v>
      </c>
      <c r="O33" s="17" t="s">
        <v>467</v>
      </c>
      <c r="P33" s="12">
        <v>8.9999999999999993E-3</v>
      </c>
      <c r="Q33" s="6">
        <f>P33*N33</f>
        <v>0.44999999999999996</v>
      </c>
      <c r="R33" s="5"/>
    </row>
    <row r="34" spans="1:18" x14ac:dyDescent="0.25">
      <c r="A34" s="1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9" t="s">
        <v>479</v>
      </c>
      <c r="J34" s="11" t="s">
        <v>354</v>
      </c>
      <c r="K34" s="11" t="s">
        <v>468</v>
      </c>
      <c r="L34" s="11">
        <v>1</v>
      </c>
      <c r="M34" s="11">
        <f t="shared" ref="M34" si="27">L34*5</f>
        <v>5</v>
      </c>
      <c r="N34" s="11">
        <v>20</v>
      </c>
      <c r="O34" s="17" t="s">
        <v>467</v>
      </c>
      <c r="P34" s="12">
        <v>1.7299999999999999E-2</v>
      </c>
      <c r="Q34" s="12">
        <f t="shared" ref="Q34" si="28">P34*N34</f>
        <v>0.34599999999999997</v>
      </c>
      <c r="R34" s="11"/>
    </row>
    <row r="35" spans="1:18" x14ac:dyDescent="0.25">
      <c r="A35" s="1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9" t="s">
        <v>479</v>
      </c>
      <c r="J35" s="5" t="s">
        <v>355</v>
      </c>
      <c r="K35" s="5" t="s">
        <v>423</v>
      </c>
      <c r="L35" s="5">
        <v>1</v>
      </c>
      <c r="M35" s="5">
        <f>L35*5</f>
        <v>5</v>
      </c>
      <c r="N35" s="11">
        <v>6</v>
      </c>
      <c r="O35" s="17" t="s">
        <v>474</v>
      </c>
      <c r="P35" s="12">
        <v>0.12705</v>
      </c>
      <c r="Q35" s="6">
        <f>P35*N35</f>
        <v>0.76229999999999998</v>
      </c>
      <c r="R35" s="5"/>
    </row>
    <row r="36" spans="1:18" ht="24" x14ac:dyDescent="0.25">
      <c r="A36" s="1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9" t="s">
        <v>479</v>
      </c>
      <c r="J36" s="11" t="s">
        <v>356</v>
      </c>
      <c r="K36" s="11" t="s">
        <v>424</v>
      </c>
      <c r="L36" s="11">
        <v>5</v>
      </c>
      <c r="M36" s="11">
        <f t="shared" ref="M36" si="29">L36*5</f>
        <v>25</v>
      </c>
      <c r="N36" s="11">
        <v>30</v>
      </c>
      <c r="O36" s="17" t="s">
        <v>467</v>
      </c>
      <c r="P36" s="12">
        <v>8.2500000000000004E-2</v>
      </c>
      <c r="Q36" s="12">
        <f t="shared" ref="Q36" si="30">P36*N36</f>
        <v>2.4750000000000001</v>
      </c>
      <c r="R36" s="11"/>
    </row>
    <row r="37" spans="1:18" ht="36" x14ac:dyDescent="0.25">
      <c r="A37" s="1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9" t="s">
        <v>479</v>
      </c>
      <c r="J37" s="5" t="s">
        <v>357</v>
      </c>
      <c r="K37" s="5" t="s">
        <v>425</v>
      </c>
      <c r="L37" s="5">
        <v>3</v>
      </c>
      <c r="M37" s="5">
        <f>L37*5</f>
        <v>15</v>
      </c>
      <c r="N37" s="11">
        <v>20</v>
      </c>
      <c r="O37" s="17" t="s">
        <v>467</v>
      </c>
      <c r="P37" s="12">
        <v>0.19239999999999999</v>
      </c>
      <c r="Q37" s="6">
        <f>P37*N37</f>
        <v>3.8479999999999999</v>
      </c>
      <c r="R37" s="5"/>
    </row>
    <row r="38" spans="1:18" x14ac:dyDescent="0.25">
      <c r="A38" s="1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9" t="s">
        <v>479</v>
      </c>
      <c r="J38" s="11" t="s">
        <v>358</v>
      </c>
      <c r="K38" s="11" t="s">
        <v>426</v>
      </c>
      <c r="L38" s="11">
        <v>1</v>
      </c>
      <c r="M38" s="11">
        <f t="shared" ref="M38" si="31">L38*5</f>
        <v>5</v>
      </c>
      <c r="N38" s="5">
        <v>6</v>
      </c>
      <c r="O38" s="17" t="s">
        <v>467</v>
      </c>
      <c r="P38" s="6">
        <v>0.92190000000000005</v>
      </c>
      <c r="Q38" s="12">
        <f t="shared" ref="Q38" si="32">P38*N38</f>
        <v>5.5314000000000005</v>
      </c>
      <c r="R38" s="11"/>
    </row>
    <row r="39" spans="1:18" x14ac:dyDescent="0.25">
      <c r="A39" s="1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8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>L39*5</f>
        <v>5</v>
      </c>
      <c r="N39" s="5">
        <v>10</v>
      </c>
      <c r="O39" s="17" t="s">
        <v>467</v>
      </c>
      <c r="P39" s="6">
        <v>3.5999999999999997E-2</v>
      </c>
      <c r="Q39" s="6">
        <f>P39*N39</f>
        <v>0.36</v>
      </c>
      <c r="R39" s="5"/>
    </row>
    <row r="40" spans="1:18" x14ac:dyDescent="0.25">
      <c r="A40" s="1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8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11">
        <f t="shared" ref="M40" si="33">L40*5</f>
        <v>5</v>
      </c>
      <c r="N40" s="11">
        <v>10</v>
      </c>
      <c r="O40" s="17" t="s">
        <v>467</v>
      </c>
      <c r="P40" s="12">
        <v>3.85E-2</v>
      </c>
      <c r="Q40" s="12">
        <f t="shared" ref="Q40" si="34">P40*N40</f>
        <v>0.38500000000000001</v>
      </c>
      <c r="R40" s="11"/>
    </row>
    <row r="41" spans="1:18" x14ac:dyDescent="0.25">
      <c r="A41" s="1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9" t="s">
        <v>479</v>
      </c>
      <c r="J41" s="5" t="s">
        <v>359</v>
      </c>
      <c r="K41" s="5" t="s">
        <v>468</v>
      </c>
      <c r="L41" s="5">
        <v>1</v>
      </c>
      <c r="M41" s="5">
        <f>L41*5</f>
        <v>5</v>
      </c>
      <c r="N41" s="5">
        <v>6</v>
      </c>
      <c r="O41" s="17" t="s">
        <v>467</v>
      </c>
      <c r="P41" s="6">
        <v>0.54039999999999999</v>
      </c>
      <c r="Q41" s="6">
        <f>P41*N41</f>
        <v>3.2423999999999999</v>
      </c>
      <c r="R41" s="5"/>
    </row>
    <row r="42" spans="1:18" x14ac:dyDescent="0.25">
      <c r="A42" s="1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9" t="s">
        <v>479</v>
      </c>
      <c r="J42" s="11" t="s">
        <v>360</v>
      </c>
      <c r="K42" s="5" t="s">
        <v>468</v>
      </c>
      <c r="L42" s="11">
        <v>1</v>
      </c>
      <c r="M42" s="11">
        <f t="shared" ref="M42" si="35">L42*5</f>
        <v>5</v>
      </c>
      <c r="N42" s="11">
        <v>6</v>
      </c>
      <c r="O42" s="17" t="s">
        <v>467</v>
      </c>
      <c r="P42" s="12">
        <v>0.54669999999999996</v>
      </c>
      <c r="Q42" s="12">
        <f t="shared" ref="Q42" si="36">P42*N42</f>
        <v>3.2801999999999998</v>
      </c>
      <c r="R42" s="11"/>
    </row>
    <row r="43" spans="1:18" x14ac:dyDescent="0.25">
      <c r="A43" s="1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9" t="s">
        <v>479</v>
      </c>
      <c r="J43" s="5" t="s">
        <v>361</v>
      </c>
      <c r="K43" s="5" t="s">
        <v>427</v>
      </c>
      <c r="L43" s="5">
        <v>4</v>
      </c>
      <c r="M43" s="5">
        <f>L43*5</f>
        <v>20</v>
      </c>
      <c r="N43" s="5">
        <v>100</v>
      </c>
      <c r="O43" s="17" t="s">
        <v>467</v>
      </c>
      <c r="P43" s="6">
        <v>6.9999999999999999E-4</v>
      </c>
      <c r="Q43" s="6">
        <f>P43*N43</f>
        <v>6.9999999999999993E-2</v>
      </c>
      <c r="R43" s="5"/>
    </row>
    <row r="44" spans="1:18" x14ac:dyDescent="0.25">
      <c r="A44" s="1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9" t="s">
        <v>479</v>
      </c>
      <c r="J44" s="11" t="s">
        <v>362</v>
      </c>
      <c r="K44" s="11" t="s">
        <v>428</v>
      </c>
      <c r="L44" s="11">
        <v>6</v>
      </c>
      <c r="M44" s="11">
        <f t="shared" ref="M44" si="37">L44*5</f>
        <v>30</v>
      </c>
      <c r="N44" s="11">
        <v>100</v>
      </c>
      <c r="O44" s="17" t="s">
        <v>467</v>
      </c>
      <c r="P44" s="12">
        <v>5.9999999999999995E-4</v>
      </c>
      <c r="Q44" s="12">
        <f t="shared" ref="Q44" si="38">P44*N44</f>
        <v>0.06</v>
      </c>
      <c r="R44" s="11"/>
    </row>
    <row r="45" spans="1:18" x14ac:dyDescent="0.25">
      <c r="A45" s="1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9" t="s">
        <v>479</v>
      </c>
      <c r="J45" s="5" t="s">
        <v>363</v>
      </c>
      <c r="K45" s="5" t="s">
        <v>429</v>
      </c>
      <c r="L45" s="5">
        <v>1</v>
      </c>
      <c r="M45" s="5">
        <f>L45*5</f>
        <v>5</v>
      </c>
      <c r="N45" s="5">
        <v>50</v>
      </c>
      <c r="O45" s="17" t="s">
        <v>467</v>
      </c>
      <c r="P45" s="6">
        <v>2.01E-2</v>
      </c>
      <c r="Q45" s="6">
        <f>P45*N45</f>
        <v>1.0049999999999999</v>
      </c>
      <c r="R45" s="5"/>
    </row>
    <row r="46" spans="1:18" x14ac:dyDescent="0.25">
      <c r="A46" s="1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9" t="s">
        <v>479</v>
      </c>
      <c r="J46" s="11" t="s">
        <v>364</v>
      </c>
      <c r="K46" s="11" t="s">
        <v>430</v>
      </c>
      <c r="L46" s="11">
        <v>1</v>
      </c>
      <c r="M46" s="11">
        <f t="shared" ref="M46" si="39">L46*5</f>
        <v>5</v>
      </c>
      <c r="N46" s="11">
        <v>50</v>
      </c>
      <c r="O46" s="17" t="s">
        <v>467</v>
      </c>
      <c r="P46" s="12">
        <v>1.9900000000000001E-2</v>
      </c>
      <c r="Q46" s="12">
        <f t="shared" ref="Q46" si="40">P46*N46</f>
        <v>0.99500000000000011</v>
      </c>
      <c r="R46" s="11"/>
    </row>
    <row r="47" spans="1:18" x14ac:dyDescent="0.25">
      <c r="A47" s="1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9" t="s">
        <v>479</v>
      </c>
      <c r="J47" s="5" t="s">
        <v>365</v>
      </c>
      <c r="K47" s="5" t="s">
        <v>431</v>
      </c>
      <c r="L47" s="5">
        <v>2</v>
      </c>
      <c r="M47" s="5">
        <f>L47*5</f>
        <v>10</v>
      </c>
      <c r="N47" s="5">
        <v>100</v>
      </c>
      <c r="O47" s="17" t="s">
        <v>467</v>
      </c>
      <c r="P47" s="6">
        <v>5.9999999999999995E-4</v>
      </c>
      <c r="Q47" s="6">
        <f>P47*N47</f>
        <v>0.06</v>
      </c>
      <c r="R47" s="5"/>
    </row>
    <row r="48" spans="1:18" x14ac:dyDescent="0.25">
      <c r="A48" s="1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9" t="s">
        <v>479</v>
      </c>
      <c r="J48" s="11" t="s">
        <v>366</v>
      </c>
      <c r="K48" s="11" t="s">
        <v>432</v>
      </c>
      <c r="L48" s="11">
        <v>1</v>
      </c>
      <c r="M48" s="11">
        <f t="shared" ref="M48" si="41">L48*5</f>
        <v>5</v>
      </c>
      <c r="N48" s="11">
        <v>100</v>
      </c>
      <c r="O48" s="17" t="s">
        <v>467</v>
      </c>
      <c r="P48" s="12">
        <v>6.9999999999999999E-4</v>
      </c>
      <c r="Q48" s="12">
        <f t="shared" ref="Q48" si="42">P48*N48</f>
        <v>6.9999999999999993E-2</v>
      </c>
      <c r="R48" s="11"/>
    </row>
    <row r="49" spans="1:18" x14ac:dyDescent="0.25">
      <c r="A49" s="1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9" t="s">
        <v>479</v>
      </c>
      <c r="J49" s="5" t="s">
        <v>367</v>
      </c>
      <c r="K49" s="5" t="s">
        <v>433</v>
      </c>
      <c r="L49" s="5">
        <v>6</v>
      </c>
      <c r="M49" s="5">
        <f>L49*5</f>
        <v>30</v>
      </c>
      <c r="N49" s="5">
        <v>100</v>
      </c>
      <c r="O49" s="17" t="s">
        <v>467</v>
      </c>
      <c r="P49" s="6">
        <v>5.0000000000000001E-4</v>
      </c>
      <c r="Q49" s="6">
        <f>P49*N49</f>
        <v>0.05</v>
      </c>
      <c r="R49" s="5"/>
    </row>
    <row r="50" spans="1:18" ht="24" x14ac:dyDescent="0.25">
      <c r="A50" s="1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9" t="s">
        <v>479</v>
      </c>
      <c r="J50" s="11" t="s">
        <v>368</v>
      </c>
      <c r="K50" s="11" t="s">
        <v>434</v>
      </c>
      <c r="L50" s="11">
        <v>8</v>
      </c>
      <c r="M50" s="11">
        <f t="shared" ref="M50" si="43">L50*5</f>
        <v>40</v>
      </c>
      <c r="N50" s="11">
        <v>100</v>
      </c>
      <c r="O50" s="17" t="s">
        <v>467</v>
      </c>
      <c r="P50" s="12">
        <v>5.9999999999999995E-4</v>
      </c>
      <c r="Q50" s="12">
        <f t="shared" ref="Q50" si="44">P50*N50</f>
        <v>0.06</v>
      </c>
      <c r="R50" s="11"/>
    </row>
    <row r="51" spans="1:18" x14ac:dyDescent="0.25">
      <c r="A51" s="1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9" t="s">
        <v>479</v>
      </c>
      <c r="J51" s="5" t="s">
        <v>369</v>
      </c>
      <c r="K51" s="5" t="s">
        <v>435</v>
      </c>
      <c r="L51" s="5">
        <v>4</v>
      </c>
      <c r="M51" s="5">
        <f>L51*5</f>
        <v>20</v>
      </c>
      <c r="N51" s="5">
        <v>100</v>
      </c>
      <c r="O51" s="17" t="s">
        <v>467</v>
      </c>
      <c r="P51" s="6">
        <v>6.9999999999999999E-4</v>
      </c>
      <c r="Q51" s="6">
        <f>P51*N51</f>
        <v>6.9999999999999993E-2</v>
      </c>
      <c r="R51" s="5"/>
    </row>
    <row r="52" spans="1:18" x14ac:dyDescent="0.25">
      <c r="A52" s="1"/>
      <c r="B52" s="8">
        <f t="shared" si="0"/>
        <v>48</v>
      </c>
      <c r="C52" s="13" t="s">
        <v>10</v>
      </c>
      <c r="D52" s="18" t="s">
        <v>64</v>
      </c>
      <c r="E52" s="18" t="s">
        <v>150</v>
      </c>
      <c r="F52" s="18" t="s">
        <v>203</v>
      </c>
      <c r="G52" s="18" t="s">
        <v>261</v>
      </c>
      <c r="H52" s="18" t="s">
        <v>299</v>
      </c>
      <c r="I52" s="19" t="s">
        <v>479</v>
      </c>
      <c r="J52" s="18" t="s">
        <v>368</v>
      </c>
      <c r="K52" s="18" t="s">
        <v>413</v>
      </c>
      <c r="L52" s="18">
        <v>1</v>
      </c>
      <c r="M52" s="18">
        <f t="shared" ref="M52" si="45">L52*5</f>
        <v>5</v>
      </c>
      <c r="N52" s="18" t="s">
        <v>468</v>
      </c>
      <c r="O52" s="18" t="s">
        <v>468</v>
      </c>
      <c r="P52" s="20" t="s">
        <v>468</v>
      </c>
      <c r="Q52" s="20" t="s">
        <v>468</v>
      </c>
      <c r="R52" s="21" t="s">
        <v>471</v>
      </c>
    </row>
    <row r="53" spans="1:18" x14ac:dyDescent="0.25">
      <c r="A53" s="1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9" t="s">
        <v>479</v>
      </c>
      <c r="J53" s="5" t="s">
        <v>370</v>
      </c>
      <c r="K53" s="5" t="s">
        <v>436</v>
      </c>
      <c r="L53" s="5">
        <v>1</v>
      </c>
      <c r="M53" s="5">
        <f>L53*5</f>
        <v>5</v>
      </c>
      <c r="N53" s="5">
        <v>20</v>
      </c>
      <c r="O53" s="17" t="s">
        <v>467</v>
      </c>
      <c r="P53" s="6">
        <v>2.58E-2</v>
      </c>
      <c r="Q53" s="6">
        <f>P53*N53</f>
        <v>0.51600000000000001</v>
      </c>
      <c r="R53" s="5"/>
    </row>
    <row r="54" spans="1:18" x14ac:dyDescent="0.25">
      <c r="A54" s="1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9" t="s">
        <v>479</v>
      </c>
      <c r="J54" s="11" t="s">
        <v>371</v>
      </c>
      <c r="K54" s="11" t="s">
        <v>437</v>
      </c>
      <c r="L54" s="11">
        <v>2</v>
      </c>
      <c r="M54" s="11">
        <f t="shared" ref="M54" si="46">L54*5</f>
        <v>10</v>
      </c>
      <c r="N54" s="11">
        <v>100</v>
      </c>
      <c r="O54" s="17" t="s">
        <v>467</v>
      </c>
      <c r="P54" s="12">
        <v>1.1999999999999999E-3</v>
      </c>
      <c r="Q54" s="12">
        <f t="shared" ref="Q54" si="47">P54*N54</f>
        <v>0.12</v>
      </c>
      <c r="R54" s="11"/>
    </row>
    <row r="55" spans="1:18" x14ac:dyDescent="0.25">
      <c r="A55" s="1"/>
      <c r="B55" s="7">
        <f>ROW(B55) - ROW($B$4)</f>
        <v>51</v>
      </c>
      <c r="C55" s="13" t="s">
        <v>10</v>
      </c>
      <c r="D55" s="18" t="s">
        <v>67</v>
      </c>
      <c r="E55" s="18" t="s">
        <v>144</v>
      </c>
      <c r="F55" s="18" t="s">
        <v>203</v>
      </c>
      <c r="G55" s="18" t="s">
        <v>255</v>
      </c>
      <c r="H55" s="18" t="s">
        <v>299</v>
      </c>
      <c r="I55" s="19" t="s">
        <v>479</v>
      </c>
      <c r="J55" s="18" t="s">
        <v>362</v>
      </c>
      <c r="K55" s="18" t="s">
        <v>413</v>
      </c>
      <c r="L55" s="18">
        <v>2</v>
      </c>
      <c r="M55" s="18">
        <f>L55*5</f>
        <v>10</v>
      </c>
      <c r="N55" s="18" t="s">
        <v>468</v>
      </c>
      <c r="O55" s="18" t="s">
        <v>468</v>
      </c>
      <c r="P55" s="20" t="s">
        <v>468</v>
      </c>
      <c r="Q55" s="20" t="s">
        <v>468</v>
      </c>
      <c r="R55" s="21" t="s">
        <v>471</v>
      </c>
    </row>
    <row r="56" spans="1:18" x14ac:dyDescent="0.25">
      <c r="A56" s="1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9" t="s">
        <v>479</v>
      </c>
      <c r="J56" s="11" t="s">
        <v>480</v>
      </c>
      <c r="K56" s="11" t="s">
        <v>438</v>
      </c>
      <c r="L56" s="11">
        <v>4</v>
      </c>
      <c r="M56" s="11">
        <f t="shared" ref="M56" si="48">L56*5</f>
        <v>20</v>
      </c>
      <c r="N56" s="11">
        <v>100</v>
      </c>
      <c r="O56" s="17" t="s">
        <v>467</v>
      </c>
      <c r="P56" s="12">
        <v>5.9999999999999995E-4</v>
      </c>
      <c r="Q56" s="12">
        <f t="shared" ref="Q56" si="49">P56*N56</f>
        <v>0.06</v>
      </c>
      <c r="R56" s="11"/>
    </row>
    <row r="57" spans="1:18" x14ac:dyDescent="0.25">
      <c r="A57" s="1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9" t="s">
        <v>479</v>
      </c>
      <c r="J57" s="5" t="s">
        <v>372</v>
      </c>
      <c r="K57" s="5" t="s">
        <v>438</v>
      </c>
      <c r="L57" s="5">
        <v>1</v>
      </c>
      <c r="M57" s="5">
        <f>L57*5</f>
        <v>5</v>
      </c>
      <c r="N57" s="5">
        <v>100</v>
      </c>
      <c r="O57" s="17" t="s">
        <v>467</v>
      </c>
      <c r="P57" s="6">
        <v>8.9999999999999998E-4</v>
      </c>
      <c r="Q57" s="6">
        <f>P57*N57</f>
        <v>0.09</v>
      </c>
      <c r="R57" s="5"/>
    </row>
    <row r="58" spans="1:18" x14ac:dyDescent="0.25">
      <c r="A58" s="1"/>
      <c r="B58" s="8">
        <f t="shared" si="0"/>
        <v>54</v>
      </c>
      <c r="C58" s="13" t="s">
        <v>10</v>
      </c>
      <c r="D58" s="18" t="s">
        <v>70</v>
      </c>
      <c r="E58" s="18" t="s">
        <v>149</v>
      </c>
      <c r="F58" s="18" t="s">
        <v>203</v>
      </c>
      <c r="G58" s="18" t="s">
        <v>260</v>
      </c>
      <c r="H58" s="18" t="s">
        <v>299</v>
      </c>
      <c r="I58" s="19" t="s">
        <v>479</v>
      </c>
      <c r="J58" s="18" t="s">
        <v>367</v>
      </c>
      <c r="K58" s="18" t="s">
        <v>413</v>
      </c>
      <c r="L58" s="18">
        <v>3</v>
      </c>
      <c r="M58" s="18">
        <f t="shared" ref="M58" si="50">L58*5</f>
        <v>15</v>
      </c>
      <c r="N58" s="18" t="s">
        <v>468</v>
      </c>
      <c r="O58" s="18" t="s">
        <v>468</v>
      </c>
      <c r="P58" s="20" t="s">
        <v>468</v>
      </c>
      <c r="Q58" s="20" t="s">
        <v>468</v>
      </c>
      <c r="R58" s="21" t="s">
        <v>471</v>
      </c>
    </row>
    <row r="59" spans="1:18" x14ac:dyDescent="0.25">
      <c r="A59" s="1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8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>L59*5</f>
        <v>5</v>
      </c>
      <c r="N59" s="5">
        <v>100</v>
      </c>
      <c r="O59" s="16" t="s">
        <v>467</v>
      </c>
      <c r="P59" s="6">
        <v>1.1000000000000001E-3</v>
      </c>
      <c r="Q59" s="6">
        <f>P59*N59</f>
        <v>0.11</v>
      </c>
      <c r="R59" s="5"/>
    </row>
    <row r="60" spans="1:18" x14ac:dyDescent="0.25">
      <c r="A60" s="1"/>
      <c r="B60" s="8">
        <f t="shared" si="0"/>
        <v>56</v>
      </c>
      <c r="C60" s="13" t="s">
        <v>10</v>
      </c>
      <c r="D60" s="18" t="s">
        <v>72</v>
      </c>
      <c r="E60" s="18" t="s">
        <v>156</v>
      </c>
      <c r="F60" s="18" t="s">
        <v>204</v>
      </c>
      <c r="G60" s="18" t="s">
        <v>267</v>
      </c>
      <c r="H60" s="18" t="s">
        <v>299</v>
      </c>
      <c r="I60" s="19" t="s">
        <v>479</v>
      </c>
      <c r="J60" s="18" t="s">
        <v>373</v>
      </c>
      <c r="K60" s="18" t="s">
        <v>413</v>
      </c>
      <c r="L60" s="18">
        <v>1</v>
      </c>
      <c r="M60" s="18">
        <f t="shared" ref="M60" si="51">L60*5</f>
        <v>5</v>
      </c>
      <c r="N60" s="18" t="s">
        <v>468</v>
      </c>
      <c r="O60" s="18" t="s">
        <v>468</v>
      </c>
      <c r="P60" s="20" t="s">
        <v>468</v>
      </c>
      <c r="Q60" s="20" t="s">
        <v>468</v>
      </c>
      <c r="R60" s="21" t="s">
        <v>471</v>
      </c>
    </row>
    <row r="61" spans="1:18" x14ac:dyDescent="0.25">
      <c r="A61" s="1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9" t="s">
        <v>479</v>
      </c>
      <c r="J61" s="5" t="s">
        <v>374</v>
      </c>
      <c r="K61" s="5" t="s">
        <v>439</v>
      </c>
      <c r="L61" s="5">
        <v>3</v>
      </c>
      <c r="M61" s="5">
        <f>L61*5</f>
        <v>15</v>
      </c>
      <c r="N61" s="11">
        <v>100</v>
      </c>
      <c r="O61" s="17" t="s">
        <v>467</v>
      </c>
      <c r="P61" s="12">
        <v>6.9999999999999999E-4</v>
      </c>
      <c r="Q61" s="6">
        <f>P61*N61</f>
        <v>6.9999999999999993E-2</v>
      </c>
      <c r="R61" s="5"/>
    </row>
    <row r="62" spans="1:18" x14ac:dyDescent="0.25">
      <c r="A62" s="1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8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11">
        <f t="shared" ref="M62" si="52">L62*5</f>
        <v>5</v>
      </c>
      <c r="N62" s="5">
        <v>100</v>
      </c>
      <c r="O62" s="16" t="s">
        <v>467</v>
      </c>
      <c r="P62" s="6">
        <v>5.0000000000000001E-3</v>
      </c>
      <c r="Q62" s="12">
        <f t="shared" ref="Q62" si="53">P62*N62</f>
        <v>0.5</v>
      </c>
      <c r="R62" s="11"/>
    </row>
    <row r="63" spans="1:18" x14ac:dyDescent="0.25">
      <c r="A63" s="1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9" t="s">
        <v>479</v>
      </c>
      <c r="J63" s="5" t="s">
        <v>375</v>
      </c>
      <c r="K63" s="5" t="s">
        <v>441</v>
      </c>
      <c r="L63" s="5">
        <v>2</v>
      </c>
      <c r="M63" s="5">
        <f>L63*5</f>
        <v>10</v>
      </c>
      <c r="N63" s="5">
        <v>100</v>
      </c>
      <c r="O63" s="17" t="s">
        <v>467</v>
      </c>
      <c r="P63" s="6">
        <v>5.9999999999999995E-4</v>
      </c>
      <c r="Q63" s="6">
        <f>P63*N63</f>
        <v>0.06</v>
      </c>
      <c r="R63" s="5"/>
    </row>
    <row r="64" spans="1:18" x14ac:dyDescent="0.25">
      <c r="A64" s="1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9" t="s">
        <v>479</v>
      </c>
      <c r="J64" s="11" t="s">
        <v>376</v>
      </c>
      <c r="K64" s="11" t="s">
        <v>442</v>
      </c>
      <c r="L64" s="11">
        <v>1</v>
      </c>
      <c r="M64" s="11">
        <f t="shared" ref="M64" si="54">L64*5</f>
        <v>5</v>
      </c>
      <c r="N64" s="11">
        <v>50</v>
      </c>
      <c r="O64" s="17" t="s">
        <v>467</v>
      </c>
      <c r="P64" s="12">
        <v>1.03E-2</v>
      </c>
      <c r="Q64" s="12">
        <f t="shared" ref="Q64" si="55">P64*N64</f>
        <v>0.51500000000000001</v>
      </c>
      <c r="R64" s="11"/>
    </row>
    <row r="65" spans="1:18" x14ac:dyDescent="0.25">
      <c r="A65" s="1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9" t="s">
        <v>479</v>
      </c>
      <c r="J65" s="5" t="s">
        <v>377</v>
      </c>
      <c r="K65" s="5" t="s">
        <v>443</v>
      </c>
      <c r="L65" s="5">
        <v>1</v>
      </c>
      <c r="M65" s="5">
        <f>L65*5</f>
        <v>5</v>
      </c>
      <c r="N65" s="11">
        <v>100</v>
      </c>
      <c r="O65" s="17" t="s">
        <v>467</v>
      </c>
      <c r="P65" s="12">
        <v>2.8E-3</v>
      </c>
      <c r="Q65" s="6">
        <f>P65*N65</f>
        <v>0.27999999999999997</v>
      </c>
      <c r="R65" s="5"/>
    </row>
    <row r="66" spans="1:18" x14ac:dyDescent="0.25">
      <c r="A66" s="1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9" t="s">
        <v>479</v>
      </c>
      <c r="J66" s="11" t="s">
        <v>378</v>
      </c>
      <c r="K66" s="11" t="s">
        <v>444</v>
      </c>
      <c r="L66" s="11">
        <v>1</v>
      </c>
      <c r="M66" s="11">
        <f t="shared" ref="M66" si="56">L66*5</f>
        <v>5</v>
      </c>
      <c r="N66" s="11">
        <v>100</v>
      </c>
      <c r="O66" s="17" t="s">
        <v>467</v>
      </c>
      <c r="P66" s="12">
        <v>5.9999999999999995E-4</v>
      </c>
      <c r="Q66" s="12">
        <f t="shared" ref="Q66" si="57">P66*N66</f>
        <v>0.06</v>
      </c>
      <c r="R66" s="11"/>
    </row>
    <row r="67" spans="1:18" x14ac:dyDescent="0.25">
      <c r="A67" s="1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9" t="s">
        <v>479</v>
      </c>
      <c r="J67" s="5" t="s">
        <v>379</v>
      </c>
      <c r="K67" s="5" t="s">
        <v>443</v>
      </c>
      <c r="L67" s="5">
        <v>1</v>
      </c>
      <c r="M67" s="5">
        <f>L67*5</f>
        <v>5</v>
      </c>
      <c r="N67" s="11">
        <v>100</v>
      </c>
      <c r="O67" s="22" t="s">
        <v>467</v>
      </c>
      <c r="P67" s="12">
        <v>1.2999999999999999E-3</v>
      </c>
      <c r="Q67" s="6">
        <f>P67*N67</f>
        <v>0.13</v>
      </c>
      <c r="R67" s="5"/>
    </row>
    <row r="68" spans="1:18" ht="36" x14ac:dyDescent="0.25">
      <c r="A68" s="1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9" t="s">
        <v>479</v>
      </c>
      <c r="J68" s="11" t="s">
        <v>380</v>
      </c>
      <c r="K68" s="11" t="s">
        <v>445</v>
      </c>
      <c r="L68" s="11">
        <v>1</v>
      </c>
      <c r="M68" s="11">
        <f t="shared" ref="M68" si="58">L68*5</f>
        <v>5</v>
      </c>
      <c r="N68" s="5">
        <v>100</v>
      </c>
      <c r="O68" s="17" t="s">
        <v>467</v>
      </c>
      <c r="P68" s="6">
        <v>8.9999999999999998E-4</v>
      </c>
      <c r="Q68" s="12">
        <f t="shared" ref="Q68" si="59">P68*N68</f>
        <v>0.09</v>
      </c>
      <c r="R68" s="11"/>
    </row>
    <row r="69" spans="1:18" x14ac:dyDescent="0.25">
      <c r="A69" s="1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9" t="s">
        <v>479</v>
      </c>
      <c r="J69" s="5" t="s">
        <v>381</v>
      </c>
      <c r="K69" s="5" t="s">
        <v>446</v>
      </c>
      <c r="L69" s="5">
        <v>1</v>
      </c>
      <c r="M69" s="5">
        <f>L69*5</f>
        <v>5</v>
      </c>
      <c r="N69" s="11">
        <v>100</v>
      </c>
      <c r="O69" s="17" t="s">
        <v>467</v>
      </c>
      <c r="P69" s="12">
        <v>2.0999999999999999E-3</v>
      </c>
      <c r="Q69" s="6">
        <f>P69*N69</f>
        <v>0.21</v>
      </c>
      <c r="R69" s="5"/>
    </row>
    <row r="70" spans="1:18" x14ac:dyDescent="0.25">
      <c r="A70" s="1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9" t="s">
        <v>479</v>
      </c>
      <c r="J70" s="11" t="s">
        <v>382</v>
      </c>
      <c r="K70" s="11" t="s">
        <v>447</v>
      </c>
      <c r="L70" s="11">
        <v>1</v>
      </c>
      <c r="M70" s="11">
        <f t="shared" ref="M70" si="60">L70*5</f>
        <v>5</v>
      </c>
      <c r="N70" s="5">
        <v>100</v>
      </c>
      <c r="O70" s="17" t="s">
        <v>467</v>
      </c>
      <c r="P70" s="6">
        <v>2.5999999999999999E-3</v>
      </c>
      <c r="Q70" s="12">
        <f t="shared" ref="Q70" si="61">P70*N70</f>
        <v>0.26</v>
      </c>
      <c r="R70" s="11"/>
    </row>
    <row r="71" spans="1:18" ht="36" x14ac:dyDescent="0.25">
      <c r="A71" s="1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9" t="s">
        <v>479</v>
      </c>
      <c r="J71" s="5" t="s">
        <v>383</v>
      </c>
      <c r="K71" s="5" t="s">
        <v>448</v>
      </c>
      <c r="L71" s="5">
        <v>1</v>
      </c>
      <c r="M71" s="5">
        <f>L71*5</f>
        <v>5</v>
      </c>
      <c r="N71" s="11">
        <v>100</v>
      </c>
      <c r="O71" s="17" t="s">
        <v>467</v>
      </c>
      <c r="P71" s="12">
        <v>5.0000000000000001E-4</v>
      </c>
      <c r="Q71" s="6">
        <f>P71*N71</f>
        <v>0.05</v>
      </c>
      <c r="R71" s="5"/>
    </row>
    <row r="72" spans="1:18" x14ac:dyDescent="0.25">
      <c r="A72" s="1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9" t="s">
        <v>479</v>
      </c>
      <c r="J72" s="11" t="s">
        <v>384</v>
      </c>
      <c r="K72" s="11" t="s">
        <v>428</v>
      </c>
      <c r="L72" s="11">
        <v>2</v>
      </c>
      <c r="M72" s="11">
        <f t="shared" ref="M72" si="62">L72*5</f>
        <v>10</v>
      </c>
      <c r="N72" s="5">
        <v>100</v>
      </c>
      <c r="O72" s="17" t="s">
        <v>467</v>
      </c>
      <c r="P72" s="6">
        <v>1E-3</v>
      </c>
      <c r="Q72" s="12">
        <f t="shared" ref="Q72" si="63">P72*N72</f>
        <v>0.1</v>
      </c>
      <c r="R72" s="11"/>
    </row>
    <row r="73" spans="1:18" x14ac:dyDescent="0.25">
      <c r="A73" s="1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9" t="s">
        <v>479</v>
      </c>
      <c r="J73" s="5" t="s">
        <v>385</v>
      </c>
      <c r="K73" s="5" t="s">
        <v>449</v>
      </c>
      <c r="L73" s="5">
        <v>1</v>
      </c>
      <c r="M73" s="5">
        <f>L73*5</f>
        <v>5</v>
      </c>
      <c r="N73" s="11">
        <v>6</v>
      </c>
      <c r="O73" s="17" t="s">
        <v>467</v>
      </c>
      <c r="P73" s="12">
        <v>0.47749999999999998</v>
      </c>
      <c r="Q73" s="6">
        <f>P73*N73</f>
        <v>2.8649999999999998</v>
      </c>
      <c r="R73" s="5"/>
    </row>
    <row r="74" spans="1:18" x14ac:dyDescent="0.25">
      <c r="A74" s="1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9" t="s">
        <v>479</v>
      </c>
      <c r="J74" s="11" t="s">
        <v>386</v>
      </c>
      <c r="K74" s="11" t="s">
        <v>450</v>
      </c>
      <c r="L74" s="11">
        <v>1</v>
      </c>
      <c r="M74" s="11">
        <f t="shared" ref="M74" si="64">L74*5</f>
        <v>5</v>
      </c>
      <c r="N74" s="5">
        <v>20</v>
      </c>
      <c r="O74" s="17" t="s">
        <v>467</v>
      </c>
      <c r="P74" s="6">
        <v>3.6900000000000002E-2</v>
      </c>
      <c r="Q74" s="12">
        <f t="shared" ref="Q74" si="65">P74*N74</f>
        <v>0.73799999999999999</v>
      </c>
      <c r="R74" s="11"/>
    </row>
    <row r="75" spans="1:18" x14ac:dyDescent="0.25">
      <c r="A75" s="1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9" t="s">
        <v>479</v>
      </c>
      <c r="J75" s="5" t="s">
        <v>387</v>
      </c>
      <c r="K75" s="5" t="s">
        <v>451</v>
      </c>
      <c r="L75" s="5">
        <v>1</v>
      </c>
      <c r="M75" s="5">
        <f>L75*5</f>
        <v>5</v>
      </c>
      <c r="N75" s="11">
        <v>20</v>
      </c>
      <c r="O75" s="17" t="s">
        <v>467</v>
      </c>
      <c r="P75" s="12">
        <v>3.6999999999999998E-2</v>
      </c>
      <c r="Q75" s="6">
        <f>P75*N75</f>
        <v>0.74</v>
      </c>
      <c r="R75" s="5"/>
    </row>
    <row r="76" spans="1:18" x14ac:dyDescent="0.25">
      <c r="A76" s="1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9" t="s">
        <v>479</v>
      </c>
      <c r="J76" s="11" t="s">
        <v>388</v>
      </c>
      <c r="K76" s="11" t="s">
        <v>452</v>
      </c>
      <c r="L76" s="11">
        <v>1</v>
      </c>
      <c r="M76" s="11">
        <f t="shared" ref="M76" si="66">L76*5</f>
        <v>5</v>
      </c>
      <c r="N76" s="5">
        <v>20</v>
      </c>
      <c r="O76" s="17" t="s">
        <v>467</v>
      </c>
      <c r="P76" s="6">
        <v>2.07E-2</v>
      </c>
      <c r="Q76" s="12">
        <f t="shared" ref="Q76" si="67">P76*N76</f>
        <v>0.41399999999999998</v>
      </c>
      <c r="R76" s="11"/>
    </row>
    <row r="77" spans="1:18" ht="36" x14ac:dyDescent="0.25">
      <c r="A77" s="1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9" t="s">
        <v>479</v>
      </c>
      <c r="J77" s="5" t="s">
        <v>389</v>
      </c>
      <c r="K77" s="5" t="s">
        <v>453</v>
      </c>
      <c r="L77" s="5">
        <v>1</v>
      </c>
      <c r="M77" s="5">
        <f>L77*5</f>
        <v>5</v>
      </c>
      <c r="N77" s="5">
        <v>100</v>
      </c>
      <c r="O77" s="17" t="s">
        <v>467</v>
      </c>
      <c r="P77" s="6">
        <v>5.0000000000000001E-4</v>
      </c>
      <c r="Q77" s="6">
        <f>P77*N77</f>
        <v>0.05</v>
      </c>
      <c r="R77" s="5"/>
    </row>
    <row r="78" spans="1:18" x14ac:dyDescent="0.25">
      <c r="A78" s="1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9" t="s">
        <v>479</v>
      </c>
      <c r="J78" s="11" t="s">
        <v>390</v>
      </c>
      <c r="K78" s="11" t="s">
        <v>454</v>
      </c>
      <c r="L78" s="11">
        <v>2</v>
      </c>
      <c r="M78" s="11">
        <f t="shared" ref="M78" si="68">L78*5</f>
        <v>10</v>
      </c>
      <c r="N78" s="11">
        <v>50</v>
      </c>
      <c r="O78" s="17" t="s">
        <v>467</v>
      </c>
      <c r="P78" s="12">
        <v>7.7000000000000002E-3</v>
      </c>
      <c r="Q78" s="12">
        <f t="shared" ref="Q78" si="69">P78*N78</f>
        <v>0.38500000000000001</v>
      </c>
      <c r="R78" s="11"/>
    </row>
    <row r="79" spans="1:18" x14ac:dyDescent="0.25">
      <c r="A79" s="1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9" t="s">
        <v>479</v>
      </c>
      <c r="J79" s="5" t="s">
        <v>391</v>
      </c>
      <c r="K79" s="5" t="s">
        <v>429</v>
      </c>
      <c r="L79" s="5">
        <v>1</v>
      </c>
      <c r="M79" s="5">
        <f>L79*5</f>
        <v>5</v>
      </c>
      <c r="N79" s="5">
        <v>20</v>
      </c>
      <c r="O79" s="17" t="s">
        <v>467</v>
      </c>
      <c r="P79" s="6">
        <v>2.4299999999999999E-2</v>
      </c>
      <c r="Q79" s="6">
        <f>P79*N79</f>
        <v>0.48599999999999999</v>
      </c>
      <c r="R79" s="5"/>
    </row>
    <row r="80" spans="1:18" x14ac:dyDescent="0.25">
      <c r="A80" s="1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9" t="s">
        <v>479</v>
      </c>
      <c r="J80" s="11" t="s">
        <v>392</v>
      </c>
      <c r="K80" s="11" t="s">
        <v>468</v>
      </c>
      <c r="L80" s="11">
        <v>4</v>
      </c>
      <c r="M80" s="11">
        <f t="shared" ref="M80" si="70">L80*5</f>
        <v>20</v>
      </c>
      <c r="N80" s="5">
        <v>25</v>
      </c>
      <c r="O80" s="17" t="s">
        <v>467</v>
      </c>
      <c r="P80" s="6">
        <v>0.1552</v>
      </c>
      <c r="Q80" s="12">
        <f t="shared" ref="Q80" si="71">P80*N80</f>
        <v>3.88</v>
      </c>
      <c r="R80" s="11"/>
    </row>
    <row r="81" spans="1:18" ht="36" x14ac:dyDescent="0.25">
      <c r="A81" s="1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9" t="s">
        <v>479</v>
      </c>
      <c r="J81" s="5" t="s">
        <v>393</v>
      </c>
      <c r="K81" s="11" t="s">
        <v>468</v>
      </c>
      <c r="L81" s="5">
        <v>1</v>
      </c>
      <c r="M81" s="5">
        <f>L81*5</f>
        <v>5</v>
      </c>
      <c r="N81" s="11">
        <v>50</v>
      </c>
      <c r="O81" s="17" t="s">
        <v>467</v>
      </c>
      <c r="P81" s="12">
        <v>1.3299999999999999E-2</v>
      </c>
      <c r="Q81" s="6">
        <f>P81*N81</f>
        <v>0.66499999999999992</v>
      </c>
      <c r="R81" s="5"/>
    </row>
    <row r="82" spans="1:18" ht="24" x14ac:dyDescent="0.25">
      <c r="A82" s="1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9" t="s">
        <v>479</v>
      </c>
      <c r="J82" s="11" t="s">
        <v>394</v>
      </c>
      <c r="K82" s="11" t="s">
        <v>468</v>
      </c>
      <c r="L82" s="11">
        <v>1</v>
      </c>
      <c r="M82" s="11">
        <f t="shared" ref="M82" si="72">L82*5</f>
        <v>5</v>
      </c>
      <c r="N82" s="11">
        <v>6</v>
      </c>
      <c r="O82" s="17" t="s">
        <v>467</v>
      </c>
      <c r="P82" s="12">
        <v>2.8976000000000002</v>
      </c>
      <c r="Q82" s="12">
        <f t="shared" ref="Q82" si="73">P82*N82</f>
        <v>17.3856</v>
      </c>
      <c r="R82" s="11"/>
    </row>
    <row r="83" spans="1:18" x14ac:dyDescent="0.25">
      <c r="A83" s="1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9" t="s">
        <v>479</v>
      </c>
      <c r="J83" s="5" t="s">
        <v>395</v>
      </c>
      <c r="K83" s="11" t="s">
        <v>468</v>
      </c>
      <c r="L83" s="5">
        <v>1</v>
      </c>
      <c r="M83" s="5">
        <f>L83*5</f>
        <v>5</v>
      </c>
      <c r="N83" s="5">
        <v>6</v>
      </c>
      <c r="O83" s="17" t="s">
        <v>467</v>
      </c>
      <c r="P83" s="6">
        <v>5.4526000000000003</v>
      </c>
      <c r="Q83" s="6">
        <f>P83*N83</f>
        <v>32.715600000000002</v>
      </c>
      <c r="R83" s="5"/>
    </row>
    <row r="84" spans="1:18" x14ac:dyDescent="0.25">
      <c r="A84" s="1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9" t="s">
        <v>479</v>
      </c>
      <c r="J84" s="11" t="s">
        <v>396</v>
      </c>
      <c r="K84" s="11" t="s">
        <v>468</v>
      </c>
      <c r="L84" s="11">
        <v>2</v>
      </c>
      <c r="M84" s="11">
        <f t="shared" ref="M84" si="74">L84*5</f>
        <v>10</v>
      </c>
      <c r="N84" s="11">
        <v>11</v>
      </c>
      <c r="O84" s="17" t="s">
        <v>467</v>
      </c>
      <c r="P84" s="12">
        <v>2.4032</v>
      </c>
      <c r="Q84" s="12">
        <f t="shared" ref="Q84" si="75">P84*N84</f>
        <v>26.435200000000002</v>
      </c>
      <c r="R84" s="11"/>
    </row>
    <row r="85" spans="1:18" ht="24" x14ac:dyDescent="0.25">
      <c r="A85" s="1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9" t="s">
        <v>479</v>
      </c>
      <c r="J85" s="5" t="s">
        <v>397</v>
      </c>
      <c r="K85" s="11" t="s">
        <v>468</v>
      </c>
      <c r="L85" s="5">
        <v>1</v>
      </c>
      <c r="M85" s="5">
        <f>L85*5</f>
        <v>5</v>
      </c>
      <c r="N85" s="5">
        <v>6</v>
      </c>
      <c r="O85" s="17" t="s">
        <v>467</v>
      </c>
      <c r="P85" s="6">
        <v>9.8475000000000001</v>
      </c>
      <c r="Q85" s="6">
        <f>P85*N85</f>
        <v>59.085000000000001</v>
      </c>
      <c r="R85" s="5"/>
    </row>
    <row r="86" spans="1:18" ht="24" x14ac:dyDescent="0.25">
      <c r="A86" s="1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9" t="s">
        <v>479</v>
      </c>
      <c r="J86" s="11" t="s">
        <v>398</v>
      </c>
      <c r="K86" s="11" t="s">
        <v>468</v>
      </c>
      <c r="L86" s="11">
        <v>1</v>
      </c>
      <c r="M86" s="11">
        <f t="shared" ref="M86" si="76">L86*5</f>
        <v>5</v>
      </c>
      <c r="N86" s="5">
        <v>6</v>
      </c>
      <c r="O86" s="17" t="s">
        <v>467</v>
      </c>
      <c r="P86" s="6">
        <v>1.7825</v>
      </c>
      <c r="Q86" s="12">
        <f t="shared" ref="Q86" si="77">P86*N86</f>
        <v>10.695</v>
      </c>
      <c r="R86" s="11"/>
    </row>
    <row r="87" spans="1:18" x14ac:dyDescent="0.25">
      <c r="A87" s="1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9" t="s">
        <v>479</v>
      </c>
      <c r="J87" s="5" t="s">
        <v>399</v>
      </c>
      <c r="K87" s="11" t="s">
        <v>468</v>
      </c>
      <c r="L87" s="5">
        <v>1</v>
      </c>
      <c r="M87" s="5">
        <f>L87*5</f>
        <v>5</v>
      </c>
      <c r="N87" s="5">
        <v>6</v>
      </c>
      <c r="O87" s="17" t="s">
        <v>467</v>
      </c>
      <c r="P87" s="6">
        <v>1.0048999999999999</v>
      </c>
      <c r="Q87" s="6">
        <f>P87*N87</f>
        <v>6.029399999999999</v>
      </c>
      <c r="R87" s="5"/>
    </row>
    <row r="88" spans="1:18" ht="24" x14ac:dyDescent="0.25">
      <c r="A88" s="1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9" t="s">
        <v>479</v>
      </c>
      <c r="J88" s="11" t="s">
        <v>400</v>
      </c>
      <c r="K88" s="11" t="s">
        <v>468</v>
      </c>
      <c r="L88" s="11">
        <v>1</v>
      </c>
      <c r="M88" s="11">
        <f t="shared" ref="M88" si="78">L88*5</f>
        <v>5</v>
      </c>
      <c r="N88" s="11">
        <v>10</v>
      </c>
      <c r="O88" s="17" t="s">
        <v>467</v>
      </c>
      <c r="P88" s="12">
        <v>0.15359999999999999</v>
      </c>
      <c r="Q88" s="12">
        <f t="shared" ref="Q88" si="79">P88*N88</f>
        <v>1.5359999999999998</v>
      </c>
      <c r="R88" s="11"/>
    </row>
    <row r="89" spans="1:18" x14ac:dyDescent="0.25">
      <c r="A89" s="1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9" t="s">
        <v>479</v>
      </c>
      <c r="J89" s="5" t="s">
        <v>401</v>
      </c>
      <c r="K89" s="11" t="s">
        <v>468</v>
      </c>
      <c r="L89" s="5">
        <v>2</v>
      </c>
      <c r="M89" s="5">
        <f>L89*5</f>
        <v>10</v>
      </c>
      <c r="N89" s="11">
        <v>15</v>
      </c>
      <c r="O89" s="17" t="s">
        <v>467</v>
      </c>
      <c r="P89" s="12">
        <v>0.19159999999999999</v>
      </c>
      <c r="Q89" s="6">
        <f>P89*N89</f>
        <v>2.8739999999999997</v>
      </c>
      <c r="R89" s="5"/>
    </row>
    <row r="90" spans="1:18" x14ac:dyDescent="0.25">
      <c r="A90" s="1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9" t="s">
        <v>479</v>
      </c>
      <c r="J90" s="5" t="s">
        <v>485</v>
      </c>
      <c r="K90" s="11" t="s">
        <v>468</v>
      </c>
      <c r="L90" s="11">
        <v>1</v>
      </c>
      <c r="M90" s="11">
        <f t="shared" ref="M90" si="80">L90*5</f>
        <v>5</v>
      </c>
      <c r="N90" s="5">
        <v>10</v>
      </c>
      <c r="O90" s="17" t="s">
        <v>467</v>
      </c>
      <c r="P90" s="6">
        <v>8.0799999999999997E-2</v>
      </c>
      <c r="Q90" s="12">
        <f t="shared" ref="Q90" si="81">P90*N90</f>
        <v>0.80799999999999994</v>
      </c>
      <c r="R90" s="11"/>
    </row>
    <row r="91" spans="1:18" ht="24" x14ac:dyDescent="0.25">
      <c r="A91" s="1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9" t="s">
        <v>479</v>
      </c>
      <c r="J91" s="5" t="s">
        <v>402</v>
      </c>
      <c r="K91" s="5" t="s">
        <v>455</v>
      </c>
      <c r="L91" s="5">
        <v>1</v>
      </c>
      <c r="M91" s="5">
        <f>L91*5</f>
        <v>5</v>
      </c>
      <c r="N91" s="11">
        <v>10</v>
      </c>
      <c r="O91" s="17" t="s">
        <v>467</v>
      </c>
      <c r="P91" s="12">
        <v>0.2306</v>
      </c>
      <c r="Q91" s="6">
        <f>P91*N91</f>
        <v>2.306</v>
      </c>
      <c r="R91" s="5"/>
    </row>
    <row r="92" spans="1:18" ht="36" x14ac:dyDescent="0.25">
      <c r="A92" s="1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9" t="s">
        <v>479</v>
      </c>
      <c r="J92" s="11" t="s">
        <v>403</v>
      </c>
      <c r="K92" s="11" t="s">
        <v>456</v>
      </c>
      <c r="L92" s="11">
        <v>1</v>
      </c>
      <c r="M92" s="11">
        <f t="shared" ref="M92" si="82">L92*5</f>
        <v>5</v>
      </c>
      <c r="N92" s="11">
        <v>10</v>
      </c>
      <c r="O92" s="17" t="s">
        <v>467</v>
      </c>
      <c r="P92" s="12">
        <v>5.8200000000000002E-2</v>
      </c>
      <c r="Q92" s="12">
        <f t="shared" ref="Q92" si="83">P92*N92</f>
        <v>0.58200000000000007</v>
      </c>
      <c r="R92" s="11"/>
    </row>
    <row r="93" spans="1:18" ht="15.75" thickBot="1" x14ac:dyDescent="0.3">
      <c r="A93" s="1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9" t="s">
        <v>479</v>
      </c>
      <c r="J93" s="5" t="s">
        <v>404</v>
      </c>
      <c r="K93" s="5" t="s">
        <v>457</v>
      </c>
      <c r="L93" s="5">
        <v>1</v>
      </c>
      <c r="M93" s="5">
        <f>L93*5</f>
        <v>5</v>
      </c>
      <c r="N93" s="5">
        <v>10</v>
      </c>
      <c r="O93" s="17" t="s">
        <v>467</v>
      </c>
      <c r="P93" s="6">
        <v>0.25950000000000001</v>
      </c>
      <c r="Q93" s="6">
        <f>P93*N93</f>
        <v>2.5950000000000002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5" t="s">
        <v>1</v>
      </c>
      <c r="O94" s="26"/>
      <c r="P94" s="26"/>
      <c r="Q94" s="9">
        <f>SUM(Q5:Q93)</f>
        <v>216.04810000000003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5" t="s">
        <v>2</v>
      </c>
      <c r="O95" s="26"/>
      <c r="P95" s="26"/>
      <c r="Q95" s="10">
        <f>Q94/5</f>
        <v>43.209620000000008</v>
      </c>
      <c r="R95" s="1"/>
    </row>
    <row r="107" spans="13:13" x14ac:dyDescent="0.25">
      <c r="M107" s="15"/>
    </row>
  </sheetData>
  <mergeCells count="3">
    <mergeCell ref="N94:P94"/>
    <mergeCell ref="N95:P95"/>
    <mergeCell ref="D2:O2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</hyperlinks>
  <pageMargins left="0.7" right="0.7" top="0.75" bottom="0.75" header="0.3" footer="0.3"/>
  <pageSetup paperSize="9" orientation="portrait" r:id="rId8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2024-08-27T14:55:39Z</dcterms:modified>
</cp:coreProperties>
</file>