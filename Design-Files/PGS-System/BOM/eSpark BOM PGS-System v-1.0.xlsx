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nis-camerapgs\Design-Files\PGS-System\BOM\"/>
    </mc:Choice>
  </mc:AlternateContent>
  <bookViews>
    <workbookView xWindow="28680" yWindow="-120" windowWidth="29040" windowHeight="15840" activeTab="2"/>
  </bookViews>
  <sheets>
    <sheet name="5 Boards" sheetId="1" r:id="rId1"/>
    <sheet name="10 Boards" sheetId="2" r:id="rId2"/>
    <sheet name="100 Boards" sheetId="4" r:id="rId3"/>
    <sheet name="200 Boards" sheetId="3" r:id="rId4"/>
    <sheet name="500 Boards" sheetId="5" r:id="rId5"/>
  </sheets>
  <calcPr calcId="162913"/>
</workbook>
</file>

<file path=xl/calcChain.xml><?xml version="1.0" encoding="utf-8"?>
<calcChain xmlns="http://schemas.openxmlformats.org/spreadsheetml/2006/main">
  <c r="M254" i="2" l="1"/>
  <c r="Q261" i="4"/>
  <c r="M255" i="4"/>
  <c r="M256" i="4"/>
  <c r="M257" i="4"/>
  <c r="M258" i="4"/>
  <c r="M259" i="4"/>
  <c r="M25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24" i="4"/>
  <c r="M209" i="4"/>
  <c r="M210" i="4"/>
  <c r="M211" i="4"/>
  <c r="M212" i="4"/>
  <c r="M213" i="4"/>
  <c r="M214" i="4"/>
  <c r="M215" i="4"/>
  <c r="M216" i="4"/>
  <c r="M217" i="4"/>
  <c r="M20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188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31" i="4"/>
  <c r="Q126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00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5" i="4"/>
  <c r="Q260" i="4"/>
  <c r="Q247" i="4"/>
  <c r="Q246" i="4"/>
  <c r="Q244" i="4"/>
  <c r="Q243" i="4"/>
  <c r="Q242" i="4"/>
  <c r="Q241" i="4"/>
  <c r="Q240" i="4"/>
  <c r="Q239" i="4"/>
  <c r="Q238" i="4"/>
  <c r="Q237" i="4"/>
  <c r="Q236" i="4"/>
  <c r="Q235" i="4"/>
  <c r="Q234" i="4"/>
  <c r="Q233" i="4"/>
  <c r="Q232" i="4"/>
  <c r="Q231" i="4"/>
  <c r="Q230" i="4"/>
  <c r="Q229" i="4"/>
  <c r="Q228" i="4"/>
  <c r="Q227" i="4"/>
  <c r="Q226" i="4"/>
  <c r="Q225" i="4"/>
  <c r="Q224" i="4"/>
  <c r="Q217" i="4"/>
  <c r="Q216" i="4"/>
  <c r="Q215" i="4"/>
  <c r="Q214" i="4"/>
  <c r="Q213" i="4"/>
  <c r="Q212" i="4"/>
  <c r="Q211" i="4"/>
  <c r="Q210" i="4"/>
  <c r="Q209" i="4"/>
  <c r="Q218" i="4" s="1"/>
  <c r="Q219" i="4" s="1"/>
  <c r="Q208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6" i="4"/>
  <c r="Q165" i="4"/>
  <c r="Q164" i="4"/>
  <c r="Q163" i="4"/>
  <c r="Q162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25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3" i="4"/>
  <c r="B93" i="4"/>
  <c r="Q92" i="4"/>
  <c r="B92" i="4"/>
  <c r="Q91" i="4"/>
  <c r="B91" i="4"/>
  <c r="Q90" i="4"/>
  <c r="B90" i="4"/>
  <c r="Q89" i="4"/>
  <c r="B89" i="4"/>
  <c r="Q88" i="4"/>
  <c r="B88" i="4"/>
  <c r="Q87" i="4"/>
  <c r="B87" i="4"/>
  <c r="Q86" i="4"/>
  <c r="B86" i="4"/>
  <c r="Q85" i="4"/>
  <c r="B85" i="4"/>
  <c r="Q84" i="4"/>
  <c r="B84" i="4"/>
  <c r="Q83" i="4"/>
  <c r="B83" i="4"/>
  <c r="Q82" i="4"/>
  <c r="B82" i="4"/>
  <c r="Q81" i="4"/>
  <c r="B81" i="4"/>
  <c r="Q80" i="4"/>
  <c r="B80" i="4"/>
  <c r="Q79" i="4"/>
  <c r="B79" i="4"/>
  <c r="Q78" i="4"/>
  <c r="B78" i="4"/>
  <c r="Q77" i="4"/>
  <c r="B77" i="4"/>
  <c r="Q76" i="4"/>
  <c r="B76" i="4"/>
  <c r="Q75" i="4"/>
  <c r="B75" i="4"/>
  <c r="Q74" i="4"/>
  <c r="B74" i="4"/>
  <c r="Q73" i="4"/>
  <c r="B73" i="4"/>
  <c r="Q72" i="4"/>
  <c r="B72" i="4"/>
  <c r="Q71" i="4"/>
  <c r="B71" i="4"/>
  <c r="Q70" i="4"/>
  <c r="B70" i="4"/>
  <c r="Q69" i="4"/>
  <c r="B69" i="4"/>
  <c r="Q68" i="4"/>
  <c r="B68" i="4"/>
  <c r="Q67" i="4"/>
  <c r="B67" i="4"/>
  <c r="Q66" i="4"/>
  <c r="B66" i="4"/>
  <c r="Q65" i="4"/>
  <c r="B65" i="4"/>
  <c r="Q64" i="4"/>
  <c r="B64" i="4"/>
  <c r="Q63" i="4"/>
  <c r="B63" i="4"/>
  <c r="Q62" i="4"/>
  <c r="B62" i="4"/>
  <c r="Q61" i="4"/>
  <c r="B61" i="4"/>
  <c r="B60" i="4"/>
  <c r="Q59" i="4"/>
  <c r="B59" i="4"/>
  <c r="B58" i="4"/>
  <c r="Q57" i="4"/>
  <c r="B57" i="4"/>
  <c r="Q56" i="4"/>
  <c r="B56" i="4"/>
  <c r="B55" i="4"/>
  <c r="Q54" i="4"/>
  <c r="B54" i="4"/>
  <c r="Q53" i="4"/>
  <c r="B53" i="4"/>
  <c r="B52" i="4"/>
  <c r="Q51" i="4"/>
  <c r="B51" i="4"/>
  <c r="Q50" i="4"/>
  <c r="B50" i="4"/>
  <c r="Q49" i="4"/>
  <c r="B49" i="4"/>
  <c r="Q48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B16" i="4"/>
  <c r="Q15" i="4"/>
  <c r="B15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261" i="2"/>
  <c r="M255" i="2"/>
  <c r="M256" i="2"/>
  <c r="M257" i="2"/>
  <c r="M258" i="2"/>
  <c r="M259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24" i="2"/>
  <c r="M209" i="2"/>
  <c r="M210" i="2"/>
  <c r="M211" i="2"/>
  <c r="M212" i="2"/>
  <c r="M213" i="2"/>
  <c r="M214" i="2"/>
  <c r="M215" i="2"/>
  <c r="M216" i="2"/>
  <c r="M217" i="2"/>
  <c r="M20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188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31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00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5" i="2"/>
  <c r="Q260" i="2"/>
  <c r="Q247" i="2"/>
  <c r="Q246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17" i="2"/>
  <c r="Q216" i="2"/>
  <c r="Q215" i="2"/>
  <c r="Q214" i="2"/>
  <c r="Q213" i="2"/>
  <c r="Q212" i="2"/>
  <c r="Q211" i="2"/>
  <c r="Q210" i="2"/>
  <c r="Q209" i="2"/>
  <c r="Q208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6" i="2"/>
  <c r="Q165" i="2"/>
  <c r="Q164" i="2"/>
  <c r="Q163" i="2"/>
  <c r="Q162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3" i="2"/>
  <c r="B93" i="2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Q73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B60" i="2"/>
  <c r="Q59" i="2"/>
  <c r="B59" i="2"/>
  <c r="B58" i="2"/>
  <c r="Q57" i="2"/>
  <c r="B57" i="2"/>
  <c r="Q56" i="2"/>
  <c r="B56" i="2"/>
  <c r="B55" i="2"/>
  <c r="Q54" i="2"/>
  <c r="B54" i="2"/>
  <c r="Q53" i="2"/>
  <c r="B53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B16" i="2"/>
  <c r="Q15" i="2"/>
  <c r="B15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7" i="2"/>
  <c r="B7" i="2"/>
  <c r="Q6" i="2"/>
  <c r="B6" i="2"/>
  <c r="Q5" i="2"/>
  <c r="B5" i="2"/>
  <c r="Q94" i="4" l="1"/>
  <c r="Q95" i="4" s="1"/>
  <c r="Q248" i="4"/>
  <c r="Q249" i="4" s="1"/>
  <c r="Q202" i="4"/>
  <c r="Q203" i="4" s="1"/>
  <c r="Q182" i="4"/>
  <c r="Q183" i="4" s="1"/>
  <c r="Q248" i="2"/>
  <c r="Q249" i="2" s="1"/>
  <c r="Q218" i="2"/>
  <c r="Q219" i="2" s="1"/>
  <c r="Q202" i="2"/>
  <c r="Q203" i="2" s="1"/>
  <c r="Q182" i="2"/>
  <c r="Q183" i="2" s="1"/>
  <c r="Q125" i="2"/>
  <c r="Q126" i="2" s="1"/>
  <c r="Q94" i="2"/>
  <c r="Q95" i="2" s="1"/>
  <c r="Q125" i="1"/>
  <c r="Q124" i="1"/>
  <c r="M124" i="1"/>
  <c r="Q202" i="1"/>
  <c r="Q201" i="1"/>
  <c r="M201" i="1"/>
  <c r="Q260" i="1"/>
  <c r="Q261" i="1" s="1"/>
  <c r="M259" i="1"/>
  <c r="M258" i="1"/>
  <c r="M257" i="1"/>
  <c r="M256" i="1"/>
  <c r="M255" i="1"/>
  <c r="M254" i="1"/>
  <c r="Q247" i="1" l="1"/>
  <c r="Q248" i="1" s="1"/>
  <c r="Q249" i="1" s="1"/>
  <c r="M247" i="1"/>
  <c r="Q246" i="1"/>
  <c r="M246" i="1"/>
  <c r="M245" i="1"/>
  <c r="Q244" i="1"/>
  <c r="M244" i="1"/>
  <c r="Q243" i="1"/>
  <c r="M243" i="1"/>
  <c r="Q242" i="1"/>
  <c r="M242" i="1"/>
  <c r="Q241" i="1"/>
  <c r="M241" i="1"/>
  <c r="Q240" i="1"/>
  <c r="M240" i="1"/>
  <c r="Q239" i="1"/>
  <c r="M239" i="1"/>
  <c r="Q238" i="1"/>
  <c r="M238" i="1"/>
  <c r="Q237" i="1"/>
  <c r="M237" i="1"/>
  <c r="Q236" i="1"/>
  <c r="M236" i="1"/>
  <c r="Q235" i="1"/>
  <c r="M235" i="1"/>
  <c r="Q234" i="1"/>
  <c r="M234" i="1"/>
  <c r="Q233" i="1"/>
  <c r="M233" i="1"/>
  <c r="Q232" i="1"/>
  <c r="M232" i="1"/>
  <c r="Q231" i="1"/>
  <c r="M231" i="1"/>
  <c r="Q230" i="1"/>
  <c r="M230" i="1"/>
  <c r="Q229" i="1"/>
  <c r="M229" i="1"/>
  <c r="Q228" i="1"/>
  <c r="M228" i="1"/>
  <c r="Q227" i="1"/>
  <c r="M227" i="1"/>
  <c r="Q226" i="1"/>
  <c r="M226" i="1"/>
  <c r="Q225" i="1"/>
  <c r="M225" i="1"/>
  <c r="Q224" i="1"/>
  <c r="M224" i="1"/>
  <c r="Q218" i="1" l="1"/>
  <c r="Q219" i="1"/>
  <c r="Q217" i="1"/>
  <c r="M217" i="1"/>
  <c r="Q216" i="1"/>
  <c r="M216" i="1"/>
  <c r="Q215" i="1"/>
  <c r="M215" i="1"/>
  <c r="Q214" i="1"/>
  <c r="M214" i="1"/>
  <c r="Q213" i="1"/>
  <c r="M213" i="1"/>
  <c r="Q212" i="1"/>
  <c r="M212" i="1"/>
  <c r="Q211" i="1"/>
  <c r="M211" i="1"/>
  <c r="Q210" i="1"/>
  <c r="M210" i="1"/>
  <c r="Q209" i="1"/>
  <c r="M209" i="1"/>
  <c r="Q208" i="1"/>
  <c r="M208" i="1"/>
  <c r="Q203" i="1" l="1"/>
  <c r="Q200" i="1"/>
  <c r="M200" i="1"/>
  <c r="Q199" i="1"/>
  <c r="M199" i="1"/>
  <c r="Q198" i="1"/>
  <c r="M198" i="1"/>
  <c r="Q197" i="1"/>
  <c r="M197" i="1"/>
  <c r="Q196" i="1"/>
  <c r="M196" i="1"/>
  <c r="Q195" i="1"/>
  <c r="M195" i="1"/>
  <c r="Q194" i="1"/>
  <c r="M194" i="1"/>
  <c r="Q193" i="1"/>
  <c r="M193" i="1"/>
  <c r="Q192" i="1"/>
  <c r="M192" i="1"/>
  <c r="Q191" i="1"/>
  <c r="M191" i="1"/>
  <c r="Q190" i="1"/>
  <c r="M190" i="1"/>
  <c r="Q189" i="1"/>
  <c r="M189" i="1"/>
  <c r="Q188" i="1"/>
  <c r="M188" i="1"/>
  <c r="Q181" i="1" l="1"/>
  <c r="M181" i="1"/>
  <c r="Q180" i="1"/>
  <c r="M180" i="1"/>
  <c r="Q179" i="1"/>
  <c r="M179" i="1"/>
  <c r="Q178" i="1"/>
  <c r="M178" i="1"/>
  <c r="Q177" i="1"/>
  <c r="M177" i="1"/>
  <c r="Q176" i="1"/>
  <c r="M176" i="1"/>
  <c r="Q175" i="1"/>
  <c r="M175" i="1"/>
  <c r="Q174" i="1"/>
  <c r="M174" i="1"/>
  <c r="Q173" i="1"/>
  <c r="M173" i="1"/>
  <c r="Q172" i="1"/>
  <c r="M172" i="1"/>
  <c r="Q171" i="1"/>
  <c r="M171" i="1"/>
  <c r="Q170" i="1"/>
  <c r="M170" i="1"/>
  <c r="Q169" i="1"/>
  <c r="M169" i="1"/>
  <c r="M168" i="1"/>
  <c r="M167" i="1"/>
  <c r="Q166" i="1"/>
  <c r="M166" i="1"/>
  <c r="Q165" i="1"/>
  <c r="M165" i="1"/>
  <c r="Q164" i="1"/>
  <c r="M164" i="1"/>
  <c r="Q163" i="1"/>
  <c r="M163" i="1"/>
  <c r="Q162" i="1"/>
  <c r="M162" i="1"/>
  <c r="M161" i="1"/>
  <c r="Q160" i="1"/>
  <c r="M160" i="1"/>
  <c r="Q159" i="1"/>
  <c r="M159" i="1"/>
  <c r="Q158" i="1"/>
  <c r="M158" i="1"/>
  <c r="Q157" i="1"/>
  <c r="M157" i="1"/>
  <c r="Q156" i="1"/>
  <c r="M156" i="1"/>
  <c r="Q155" i="1"/>
  <c r="M155" i="1"/>
  <c r="Q154" i="1"/>
  <c r="M154" i="1"/>
  <c r="Q153" i="1"/>
  <c r="M153" i="1"/>
  <c r="Q152" i="1"/>
  <c r="M152" i="1"/>
  <c r="Q151" i="1"/>
  <c r="M151" i="1"/>
  <c r="Q150" i="1"/>
  <c r="M150" i="1"/>
  <c r="Q149" i="1"/>
  <c r="M149" i="1"/>
  <c r="Q148" i="1"/>
  <c r="M148" i="1"/>
  <c r="Q147" i="1"/>
  <c r="M147" i="1"/>
  <c r="Q146" i="1"/>
  <c r="M146" i="1"/>
  <c r="Q145" i="1"/>
  <c r="M145" i="1"/>
  <c r="Q144" i="1"/>
  <c r="M144" i="1"/>
  <c r="Q143" i="1"/>
  <c r="M143" i="1"/>
  <c r="Q142" i="1"/>
  <c r="M142" i="1"/>
  <c r="Q141" i="1"/>
  <c r="M141" i="1"/>
  <c r="Q140" i="1"/>
  <c r="M140" i="1"/>
  <c r="Q139" i="1"/>
  <c r="M139" i="1"/>
  <c r="Q138" i="1"/>
  <c r="M138" i="1"/>
  <c r="Q137" i="1"/>
  <c r="M137" i="1"/>
  <c r="Q136" i="1"/>
  <c r="M136" i="1"/>
  <c r="Q135" i="1"/>
  <c r="M135" i="1"/>
  <c r="Q134" i="1"/>
  <c r="M134" i="1"/>
  <c r="Q133" i="1"/>
  <c r="M133" i="1"/>
  <c r="Q132" i="1"/>
  <c r="M132" i="1"/>
  <c r="Q131" i="1"/>
  <c r="M131" i="1"/>
  <c r="Q182" i="1" l="1"/>
  <c r="Q183" i="1" s="1"/>
  <c r="Q123" i="1" l="1"/>
  <c r="M123" i="1"/>
  <c r="Q122" i="1"/>
  <c r="M122" i="1"/>
  <c r="Q121" i="1"/>
  <c r="M121" i="1"/>
  <c r="Q120" i="1"/>
  <c r="M120" i="1"/>
  <c r="Q119" i="1"/>
  <c r="M119" i="1"/>
  <c r="Q118" i="1"/>
  <c r="M118" i="1"/>
  <c r="Q117" i="1"/>
  <c r="M117" i="1"/>
  <c r="Q116" i="1"/>
  <c r="M116" i="1"/>
  <c r="Q115" i="1"/>
  <c r="M115" i="1"/>
  <c r="Q114" i="1"/>
  <c r="M114" i="1"/>
  <c r="Q113" i="1"/>
  <c r="M113" i="1"/>
  <c r="Q112" i="1"/>
  <c r="M112" i="1"/>
  <c r="Q111" i="1"/>
  <c r="M111" i="1"/>
  <c r="Q110" i="1"/>
  <c r="M110" i="1"/>
  <c r="Q109" i="1"/>
  <c r="M109" i="1"/>
  <c r="Q108" i="1"/>
  <c r="M108" i="1"/>
  <c r="Q107" i="1"/>
  <c r="M107" i="1"/>
  <c r="Q106" i="1"/>
  <c r="M106" i="1"/>
  <c r="Q105" i="1"/>
  <c r="M105" i="1"/>
  <c r="Q104" i="1"/>
  <c r="M104" i="1"/>
  <c r="Q103" i="1"/>
  <c r="M103" i="1"/>
  <c r="Q102" i="1"/>
  <c r="M102" i="1"/>
  <c r="Q101" i="1"/>
  <c r="M101" i="1"/>
  <c r="Q100" i="1"/>
  <c r="M100" i="1"/>
  <c r="Q126" i="1" l="1"/>
  <c r="B5" i="1"/>
  <c r="M5" i="1"/>
  <c r="Q5" i="1"/>
  <c r="Q93" i="1" l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M60" i="1"/>
  <c r="B60" i="1"/>
  <c r="Q59" i="1"/>
  <c r="M59" i="1"/>
  <c r="B59" i="1"/>
  <c r="M58" i="1"/>
  <c r="B58" i="1"/>
  <c r="Q57" i="1"/>
  <c r="M57" i="1"/>
  <c r="B57" i="1"/>
  <c r="Q56" i="1"/>
  <c r="M56" i="1"/>
  <c r="B56" i="1"/>
  <c r="M55" i="1"/>
  <c r="B55" i="1"/>
  <c r="Q54" i="1"/>
  <c r="M54" i="1"/>
  <c r="B54" i="1"/>
  <c r="Q53" i="1"/>
  <c r="M53" i="1"/>
  <c r="B53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M16" i="1"/>
  <c r="B16" i="1"/>
  <c r="Q15" i="1"/>
  <c r="M15" i="1"/>
  <c r="B15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 l="1"/>
  <c r="Q94" i="1" s="1"/>
  <c r="Q95" i="1" s="1"/>
  <c r="M6" i="1"/>
  <c r="B6" i="1"/>
</calcChain>
</file>

<file path=xl/sharedStrings.xml><?xml version="1.0" encoding="utf-8"?>
<sst xmlns="http://schemas.openxmlformats.org/spreadsheetml/2006/main" count="7173" uniqueCount="954">
  <si>
    <t>#</t>
  </si>
  <si>
    <t xml:space="preserve">Total Component Cost </t>
  </si>
  <si>
    <t>Single Board Cost</t>
  </si>
  <si>
    <t>Item Type</t>
  </si>
  <si>
    <t>Capacitor</t>
  </si>
  <si>
    <t>Diode</t>
  </si>
  <si>
    <t>Ferrite Bead</t>
  </si>
  <si>
    <t>Inductor</t>
  </si>
  <si>
    <t>LED</t>
  </si>
  <si>
    <t>MOSFET</t>
  </si>
  <si>
    <t>Resistor</t>
  </si>
  <si>
    <t>Switch</t>
  </si>
  <si>
    <t>Tactile Switch</t>
  </si>
  <si>
    <t>IC</t>
  </si>
  <si>
    <t>Microcontroller</t>
  </si>
  <si>
    <t>Crystal</t>
  </si>
  <si>
    <t>Designator</t>
  </si>
  <si>
    <t>C1, C3, C6, C7, C10, C12, C30, C38, C44, C56, C57, C76, C77, C85, C92, C99, C104, C109, C202, C262, C264, C268, C272</t>
  </si>
  <si>
    <t>C2, C4, C5, C8, C9, C11, C28, C29, C199, C200</t>
  </si>
  <si>
    <t>C13, C14, C15, C16, C18, C19, C20, C21, C22, C23, C24, C25, C26, C27, C31, C32, C40, C42, C43, C78, C86, C87, C93, C94, C100, C101, C105, C110, C111, C112</t>
  </si>
  <si>
    <t>C17</t>
  </si>
  <si>
    <t>C33, C36, C37, C58, C59, C60, C61, C62, C64, C65, C66, C67, C68, C69, C79, C80, C81, C82, C83, C84, C126</t>
  </si>
  <si>
    <t>C34, C35</t>
  </si>
  <si>
    <t>C39, C41, C55</t>
  </si>
  <si>
    <t>C45, C53, C163, C173</t>
  </si>
  <si>
    <t>C46, C47, C48, C49, C50, C51, C52, C54, C88, C89, C90, C91, C95, C96, C97, C98, C102, C103, C106, C107, C108, C113, C114, C115, C117, C159, C162, C164, C167, C168, C169, C170, C171, C172, C174, C201, C203, C205, C206, C207, C257, C263, C265, C271, C273</t>
  </si>
  <si>
    <t>C63</t>
  </si>
  <si>
    <t>C70, C71, C72, C73, C74, C75, C116, C197</t>
  </si>
  <si>
    <t>C118</t>
  </si>
  <si>
    <t>C127</t>
  </si>
  <si>
    <t>C128</t>
  </si>
  <si>
    <t>C129, C130</t>
  </si>
  <si>
    <t>C133</t>
  </si>
  <si>
    <t>C165, C166</t>
  </si>
  <si>
    <t>C198</t>
  </si>
  <si>
    <t>C204, C266, C274</t>
  </si>
  <si>
    <t>C249, C250</t>
  </si>
  <si>
    <t>C251, C252</t>
  </si>
  <si>
    <t>C253, C254</t>
  </si>
  <si>
    <t>C255</t>
  </si>
  <si>
    <t>C256</t>
  </si>
  <si>
    <t>C258</t>
  </si>
  <si>
    <t>C259</t>
  </si>
  <si>
    <t>C260</t>
  </si>
  <si>
    <t>C261, C267</t>
  </si>
  <si>
    <t>D1, D2, D3</t>
  </si>
  <si>
    <t>D29</t>
  </si>
  <si>
    <t>FB11</t>
  </si>
  <si>
    <t>L1, L2, L3, L4, L5</t>
  </si>
  <si>
    <t>L8, L10, L11</t>
  </si>
  <si>
    <t>L9</t>
  </si>
  <si>
    <t>LED2</t>
  </si>
  <si>
    <t>LED3</t>
  </si>
  <si>
    <t>Q13</t>
  </si>
  <si>
    <t>Q14</t>
  </si>
  <si>
    <t>R1, R2, R37, R90</t>
  </si>
  <si>
    <t>R3, R20, R24, R28, R68, R200</t>
  </si>
  <si>
    <t>R4</t>
  </si>
  <si>
    <t>R5</t>
  </si>
  <si>
    <t>R6, R7</t>
  </si>
  <si>
    <t>R8</t>
  </si>
  <si>
    <t>R9, R27, R30, R36, R94, R95</t>
  </si>
  <si>
    <t>R10, R14, R15, R16, R17, R18, R93, R195</t>
  </si>
  <si>
    <t>R11, R22, R23, R91</t>
  </si>
  <si>
    <t>R19</t>
  </si>
  <si>
    <t>R21</t>
  </si>
  <si>
    <t>R25, R26</t>
  </si>
  <si>
    <t>R29, R69</t>
  </si>
  <si>
    <t>R31, R32, R33, R34</t>
  </si>
  <si>
    <t>R35</t>
  </si>
  <si>
    <t>R38, R39, R92</t>
  </si>
  <si>
    <t>R82</t>
  </si>
  <si>
    <t>R89</t>
  </si>
  <si>
    <t>R118, R183, R187</t>
  </si>
  <si>
    <t>R119</t>
  </si>
  <si>
    <t>R120, R185</t>
  </si>
  <si>
    <t>R121</t>
  </si>
  <si>
    <t>R156</t>
  </si>
  <si>
    <t>R157</t>
  </si>
  <si>
    <t>R172</t>
  </si>
  <si>
    <t>R173</t>
  </si>
  <si>
    <t>R174</t>
  </si>
  <si>
    <t>R175</t>
  </si>
  <si>
    <t>R176</t>
  </si>
  <si>
    <t>R177, R179</t>
  </si>
  <si>
    <t>R178</t>
  </si>
  <si>
    <t>R180</t>
  </si>
  <si>
    <t>R181</t>
  </si>
  <si>
    <t>R182</t>
  </si>
  <si>
    <t>R184</t>
  </si>
  <si>
    <t>R186, R188</t>
  </si>
  <si>
    <t>R189</t>
  </si>
  <si>
    <t>SW1, SW2, SW4, SW5</t>
  </si>
  <si>
    <t>SW3</t>
  </si>
  <si>
    <t>U1</t>
  </si>
  <si>
    <t>U2</t>
  </si>
  <si>
    <t>U3, U4</t>
  </si>
  <si>
    <t>U5</t>
  </si>
  <si>
    <t>U7</t>
  </si>
  <si>
    <t>U10</t>
  </si>
  <si>
    <t>U15</t>
  </si>
  <si>
    <t>U19, U20</t>
  </si>
  <si>
    <t>U21</t>
  </si>
  <si>
    <t>X1</t>
  </si>
  <si>
    <t>X4</t>
  </si>
  <si>
    <t>X5</t>
  </si>
  <si>
    <t>Description</t>
  </si>
  <si>
    <t>CAP CER 10UF 10V X5R 0603</t>
  </si>
  <si>
    <t>CAP CER 22UF 6.3V X5R 0603</t>
  </si>
  <si>
    <t>CAP CER 1UF 10V X5R 0402</t>
  </si>
  <si>
    <t>CAP CER 4.7UF 6.3V X5R 0402</t>
  </si>
  <si>
    <t>CAP CER 0.1UF 10V X5R 0402</t>
  </si>
  <si>
    <t>CAP CER 22PF 50V C0G/NPO 0402</t>
  </si>
  <si>
    <t>CAP CER 2.2UF 6.3V X5R 0402</t>
  </si>
  <si>
    <t>CAP CER 4.7UF 10V X5R 0402</t>
  </si>
  <si>
    <t>CAP CER 0.1UF 10V X5R 0201</t>
  </si>
  <si>
    <t>CAP CER 100PF 50V C0G/NPO 0402</t>
  </si>
  <si>
    <t>CAP CER 1000PF 50V C0G/NP0 0402</t>
  </si>
  <si>
    <t>CAP CER 1000PF 25V C0G 0402</t>
  </si>
  <si>
    <t>CAP CER 0.1UF 16V X7R 0402</t>
  </si>
  <si>
    <t>CAP CER 150PF 25V X7R 0402</t>
  </si>
  <si>
    <t>CAP CER 0.1UF 16V X5R 0402</t>
  </si>
  <si>
    <t>CAP CER 15PF 50V C0G/NPO 0201</t>
  </si>
  <si>
    <t>CAP CER 22PF 50V C0G/NP0 0402</t>
  </si>
  <si>
    <t>CAP CER 2.2UF 100V X7T 0805</t>
  </si>
  <si>
    <t>CAP CER 0.1UF 100V X7R 0603</t>
  </si>
  <si>
    <t>CAP CER 22UF 25V X5R 0805</t>
  </si>
  <si>
    <t>CAP CER 270PF 50V C0G/NPO 0402</t>
  </si>
  <si>
    <t>CAP CER 10000PF 25V X5R 0402</t>
  </si>
  <si>
    <t>CAP CER 1UF 50V X5R 0603</t>
  </si>
  <si>
    <t>CAP CER 12PF 50V C0G/NP0 0402</t>
  </si>
  <si>
    <t>CAP CER 390PF 50V C0G 0402</t>
  </si>
  <si>
    <t>CAP CER 47PF 50V C0G/NP0 0402</t>
  </si>
  <si>
    <t>DFN1006-2(0402) ESD Protection Devices ROHS</t>
  </si>
  <si>
    <t>DIODE GEN PURP 100V 250MA SOD523</t>
  </si>
  <si>
    <t>FERRITE BEAD 300 OHM 0603 1LN</t>
  </si>
  <si>
    <t>4.2A 470nH 合金磁胶电感 ±20% 8A SMD,3x3mm Power Inductors ROHS</t>
  </si>
  <si>
    <t>2.8A 2.2uH ±20% 60mΩ 4A SMD,3.4x3x1.8mm Power Inductors ROHS</t>
  </si>
  <si>
    <t>FIXED IND 6.8UH 7A 33.4 MOHM SMD</t>
  </si>
  <si>
    <t>LED RED CLEAR CHIP SMD</t>
  </si>
  <si>
    <t>LED GREEN CLEAR CHIP SMD</t>
  </si>
  <si>
    <t>MOSFET N-CH 80V 7A/23A TDSON-8-5</t>
  </si>
  <si>
    <t>TO-263 MOSFETs ROHS</t>
  </si>
  <si>
    <t>RES 100 OHM 1% 1/16W 0402</t>
  </si>
  <si>
    <t>RES 0 OHM JUMPER 1/16W 0402</t>
  </si>
  <si>
    <t>RES SMD 120K OHM 0.1% 1/16W 0402</t>
  </si>
  <si>
    <t>RES 150K OHM 0.1% 1/16W 0402</t>
  </si>
  <si>
    <t>RES SMD 2.2K OHM 1% 1/16W 0402</t>
  </si>
  <si>
    <t>RES 47K OHM 1% 1/16W 0402</t>
  </si>
  <si>
    <t>RES 10K OHM 1% 1/16W 0402</t>
  </si>
  <si>
    <t>RES 22 OHM 1% 1/16W 0402</t>
  </si>
  <si>
    <t>RES 4.7K OHM 1% 1/16W 0402</t>
  </si>
  <si>
    <t>RES SMD 110K OHM 0.1% 1/10W 0603</t>
  </si>
  <si>
    <t>RES 49.9 OHM 1% 1/10W 0603</t>
  </si>
  <si>
    <t>RES 240 OHM 1% 1/16W 0402</t>
  </si>
  <si>
    <t>RES 240 OHM 1% 1/20W 0201</t>
  </si>
  <si>
    <t>RES SMD 0R, 1%, 0.1W, 0603</t>
  </si>
  <si>
    <t>RES 20K OHM 1% 1/16W 0402</t>
  </si>
  <si>
    <t>RES SMD 36K OHM 1% 1/5W 0402</t>
  </si>
  <si>
    <t>RES 100K OHM 1% 1/16W 0402</t>
  </si>
  <si>
    <t>RES SMD 510 OHM 1% 1/16W 0402</t>
  </si>
  <si>
    <t>RES SMD 1M OHM 5% 1/16W 0402</t>
  </si>
  <si>
    <t>RES 200 OHM 1% 1/16W 0402</t>
  </si>
  <si>
    <t>RES SMD 1M OHM 1% 1/10W 0603</t>
  </si>
  <si>
    <t>100mW Thick Film Resistors 75V ±1% 69.8kΩ 0603 Chip Resistor - Surface Mount ROHS</t>
  </si>
  <si>
    <t>RES 3.09K OHM 1% 1/8W 0805</t>
  </si>
  <si>
    <t>RES 5.23K OHM 1% 1/8W 0805</t>
  </si>
  <si>
    <t>62.5mW Thick Film Resistors 50V ±100ppm/℃ ±1% 47.5kΩ 0402 Chip Resistor - Surface Mount ROHS</t>
  </si>
  <si>
    <t>RES 0 OHM JUMPER 1/10W 0603</t>
  </si>
  <si>
    <t>RES 0.015 OHM 1% 1W 1206</t>
  </si>
  <si>
    <t>RES SMD 32.4K OHM 0.1% 1/8W 0805</t>
  </si>
  <si>
    <t>RES SMD 10.4K OHM 0.1% 1/8W 0805</t>
  </si>
  <si>
    <t>RES SMD 1K OHM 1% 1/5W 0402</t>
  </si>
  <si>
    <t>62.5mW Thick Film Resistors 50V ±100ppm/℃ ±1% 84.5kΩ 0402 Chip Resistor - Surface Mount ROHS</t>
  </si>
  <si>
    <t>RES 270K OHM 0.5% 1/10W 0603</t>
  </si>
  <si>
    <t>RES SMD 120K OHM 0.1% 1/10W 0603</t>
  </si>
  <si>
    <t>SWITCH TACTILE SPST-NO 0.05A 12V</t>
  </si>
  <si>
    <t>3.35mm 2.5mm Oval button 50mA Brick nogging 4.2mm 180gf 12V SMD Tactile Switches ROHS</t>
  </si>
  <si>
    <t>QFN-68-EP(7x7) Power Management Specialized - PMIC ROHS</t>
  </si>
  <si>
    <t>eMMC 5.1 FBGA-153 eMMC ROHS</t>
  </si>
  <si>
    <t>FBGA-96 DDR SDRAM ROHS</t>
  </si>
  <si>
    <t>FCCSP-409(14x14) Microcontroller Units (MCUs/MPUs/SOCs) ROHS</t>
  </si>
  <si>
    <t>IC REG CTRLR BUCK 20TSSOP</t>
  </si>
  <si>
    <t>IC FLASH 128MBIT SPI/QUAD 8SOIC</t>
  </si>
  <si>
    <t>Step-down type SOT-23-5 DC-DC Converters ROHS</t>
  </si>
  <si>
    <t>IC REG BUCK ADJ 1A SYNC SOT25</t>
  </si>
  <si>
    <t>IC INVERTER 1CH 1-INP SOT23-5</t>
  </si>
  <si>
    <t>32.768kHz 贴片晶振 12.5pF ±20ppm ±20ppm SMD3215-2P Crystals ROHS</t>
  </si>
  <si>
    <t>24MHz SMD Crystal Resonator 12pF ±10ppm ±30ppm -40℃~+85℃ SMD3225-4P Crystals ROHS</t>
  </si>
  <si>
    <t>CRYSTAL 25.0000MHZ 12PF SMD</t>
  </si>
  <si>
    <t>Footprint</t>
  </si>
  <si>
    <t>Cap-0603</t>
  </si>
  <si>
    <t>Cap-0402</t>
  </si>
  <si>
    <t>CAP-0201</t>
  </si>
  <si>
    <t>Cap-0201</t>
  </si>
  <si>
    <t>Cap-0805</t>
  </si>
  <si>
    <t>DFN1006-2L (Bi-Directional)</t>
  </si>
  <si>
    <t>SOD-523</t>
  </si>
  <si>
    <t>YHNR3012-R47M</t>
  </si>
  <si>
    <t>IHLP3232DZER6R8M11</t>
  </si>
  <si>
    <t>LED-0402</t>
  </si>
  <si>
    <t>PG-TDSON-8</t>
  </si>
  <si>
    <t>TO-263</t>
  </si>
  <si>
    <t>Res-0402</t>
  </si>
  <si>
    <t>Res-0603</t>
  </si>
  <si>
    <t>Res-0201</t>
  </si>
  <si>
    <t>RES-0805</t>
  </si>
  <si>
    <t>Res-1206</t>
  </si>
  <si>
    <t>B3U-1000P</t>
  </si>
  <si>
    <t>TSA016A2518A</t>
  </si>
  <si>
    <t>68-QFN-(7x7)</t>
  </si>
  <si>
    <t>FBGA-153(11.5x13)</t>
  </si>
  <si>
    <t>96-FBGA (8x14)</t>
  </si>
  <si>
    <t>FCCSP-409(14x14)</t>
  </si>
  <si>
    <t>20-HTSSOP</t>
  </si>
  <si>
    <t>SOIC-8 (208 mil)</t>
  </si>
  <si>
    <t>SOT-23-5</t>
  </si>
  <si>
    <t>FP-DBV0005A-MFG</t>
  </si>
  <si>
    <t>SMD3215-2P</t>
  </si>
  <si>
    <t>Q22FA12800090</t>
  </si>
  <si>
    <t>Manufacturer Part Number</t>
  </si>
  <si>
    <t>CC0603KRX5R6BB106</t>
  </si>
  <si>
    <t>CC0603MRX5R5BB226</t>
  </si>
  <si>
    <t>CC0402KRX5R6BB105</t>
  </si>
  <si>
    <t>CC0402KRX5R5BB475</t>
  </si>
  <si>
    <t>CC0402KRX5R6BB104</t>
  </si>
  <si>
    <t>CC0402JRNPO9BN220</t>
  </si>
  <si>
    <t>C1005X5R0J225KTJA0E</t>
  </si>
  <si>
    <t>CC0402KRX5R6BB475</t>
  </si>
  <si>
    <t>CC0201KRX5R6BB104</t>
  </si>
  <si>
    <t>CC0402JRNPO9BN101</t>
  </si>
  <si>
    <t>GRM1555C1H102JA01D</t>
  </si>
  <si>
    <t>C1005C0G1E102JT000F</t>
  </si>
  <si>
    <t>CC0402JRX7R7BB104</t>
  </si>
  <si>
    <t>CC0402KRX7R8BB151</t>
  </si>
  <si>
    <t>CC0402KRX5R7BB104</t>
  </si>
  <si>
    <t>CC0201JRNPO9BN150</t>
  </si>
  <si>
    <t>04025A220FAT2A</t>
  </si>
  <si>
    <t>GRM21BD72A225KE01L</t>
  </si>
  <si>
    <t>CC0603KRX7R0BB104</t>
  </si>
  <si>
    <t>GRM21BR61E226ME44L</t>
  </si>
  <si>
    <t>CC0402JRNPO9BN271</t>
  </si>
  <si>
    <t>CC0402KRX5R8BB103</t>
  </si>
  <si>
    <t>CL10A105KB8NNNC</t>
  </si>
  <si>
    <t>GJM1555C1H120GB01D</t>
  </si>
  <si>
    <t>CGA2B2C0G1H391J050BA</t>
  </si>
  <si>
    <t>GCM1555C1H470FA16D</t>
  </si>
  <si>
    <t>ESD5451N</t>
  </si>
  <si>
    <t>BAS516,115</t>
  </si>
  <si>
    <t>MHP0302-2R2M</t>
  </si>
  <si>
    <t>XZMDK68W-2</t>
  </si>
  <si>
    <t>XZVG68W-2</t>
  </si>
  <si>
    <t>BSC340N08NS3G</t>
  </si>
  <si>
    <t>IPB027N10N3G(UMW)</t>
  </si>
  <si>
    <t>RC0402FR-07100RL</t>
  </si>
  <si>
    <t>RC0402FR-070RL</t>
  </si>
  <si>
    <t>RT0402BRD07120KL</t>
  </si>
  <si>
    <t>RT0402BRD07150KL</t>
  </si>
  <si>
    <t>RC0402FR-072K2L</t>
  </si>
  <si>
    <t>RC0402FR-0747KL</t>
  </si>
  <si>
    <t>RC0402FR-0710KL</t>
  </si>
  <si>
    <t>RC0402FR-0722RL</t>
  </si>
  <si>
    <t>RC0402FR-074K7L</t>
  </si>
  <si>
    <t>RT0603BRE07110KL</t>
  </si>
  <si>
    <t>RC0603FR-0749R9L</t>
  </si>
  <si>
    <t>RC0402FR-07240RL</t>
  </si>
  <si>
    <t>RC0201FR-07240RL</t>
  </si>
  <si>
    <t>RC0603FR-070RL</t>
  </si>
  <si>
    <t>RC0402FR-0720KL</t>
  </si>
  <si>
    <t>RCS040236K0FKED</t>
  </si>
  <si>
    <t>RC0402FR-07100KL</t>
  </si>
  <si>
    <t>RT0402FRE07510RL</t>
  </si>
  <si>
    <t>AF0402JR-071ML</t>
  </si>
  <si>
    <t>RC0402FR-07200RL</t>
  </si>
  <si>
    <t>RC0603FR-071ML</t>
  </si>
  <si>
    <t>SCR0603F69K8</t>
  </si>
  <si>
    <t>RC0805FR-073K09L</t>
  </si>
  <si>
    <t>RC0805FR-075K23L</t>
  </si>
  <si>
    <t>0402WGF4752TCE</t>
  </si>
  <si>
    <t>RC0603JR-070RL</t>
  </si>
  <si>
    <t>WSLP1206R0150FEA</t>
  </si>
  <si>
    <t>RT0805BRD0732K4L</t>
  </si>
  <si>
    <t>RT0805BRD0710K4L</t>
  </si>
  <si>
    <t>CRCW04021K00FKEDHP</t>
  </si>
  <si>
    <t>0402WGF8452TCE</t>
  </si>
  <si>
    <t>RC0603DR-07270KL</t>
  </si>
  <si>
    <t>RT0603BRD07120KL</t>
  </si>
  <si>
    <t>RK809-2</t>
  </si>
  <si>
    <t>KLMAG1JETD-B041</t>
  </si>
  <si>
    <t>K4B4G1646E-BCNB</t>
  </si>
  <si>
    <t>RV1126</t>
  </si>
  <si>
    <t>LM5116MHX/NOPB</t>
  </si>
  <si>
    <t>W25Q128JWSIQ</t>
  </si>
  <si>
    <t>SY8089AAAC</t>
  </si>
  <si>
    <t>PAM2312AABADJ</t>
  </si>
  <si>
    <t>SN74AHC1G04DBVR</t>
  </si>
  <si>
    <t>XDMCZLNDDF-0.032768MHZ</t>
  </si>
  <si>
    <t>X322524MOB4SI</t>
  </si>
  <si>
    <t>Manufacturer</t>
  </si>
  <si>
    <t>Yageo</t>
  </si>
  <si>
    <t>TDK</t>
  </si>
  <si>
    <t>Murata</t>
  </si>
  <si>
    <t>Kyocera AVX</t>
  </si>
  <si>
    <t>Samsung</t>
  </si>
  <si>
    <t>TECH PUBLIC</t>
  </si>
  <si>
    <t>Nexperia</t>
  </si>
  <si>
    <t>Wurth Electronics</t>
  </si>
  <si>
    <t>YJYCOIN</t>
  </si>
  <si>
    <t>Me-TECH</t>
  </si>
  <si>
    <t>Vishay Dale</t>
  </si>
  <si>
    <t>SunLED</t>
  </si>
  <si>
    <t>Infineon</t>
  </si>
  <si>
    <t>UMW</t>
  </si>
  <si>
    <t>VO</t>
  </si>
  <si>
    <t>Uniroyal</t>
  </si>
  <si>
    <t>UNI-ROYAL(Uniroyal Elec)</t>
  </si>
  <si>
    <t>Omron</t>
  </si>
  <si>
    <t>BZCN</t>
  </si>
  <si>
    <t>Rockchip</t>
  </si>
  <si>
    <t>TI National Semiconductor</t>
  </si>
  <si>
    <t>Winbond</t>
  </si>
  <si>
    <t>Silergy</t>
  </si>
  <si>
    <t>Diodes</t>
  </si>
  <si>
    <t>Texas Instruments</t>
  </si>
  <si>
    <t>TAITIEN Elec</t>
  </si>
  <si>
    <t>Yangxing Tech</t>
  </si>
  <si>
    <t>Seiko Epson</t>
  </si>
  <si>
    <t>LCSC Part Number</t>
  </si>
  <si>
    <t>C326057</t>
  </si>
  <si>
    <t>C109448</t>
  </si>
  <si>
    <t>C106254</t>
  </si>
  <si>
    <t>C541466</t>
  </si>
  <si>
    <t>C129131</t>
  </si>
  <si>
    <t>C106203</t>
  </si>
  <si>
    <t>C343036</t>
  </si>
  <si>
    <t>C326586</t>
  </si>
  <si>
    <t>C190183</t>
  </si>
  <si>
    <t>C106200</t>
  </si>
  <si>
    <t>C76947</t>
  </si>
  <si>
    <t>C343059</t>
  </si>
  <si>
    <t>C541464</t>
  </si>
  <si>
    <t>C541384</t>
  </si>
  <si>
    <t>C106204</t>
  </si>
  <si>
    <t>C277480</t>
  </si>
  <si>
    <t>C597022</t>
  </si>
  <si>
    <t>C2981733</t>
  </si>
  <si>
    <t>C113803</t>
  </si>
  <si>
    <t>C86816</t>
  </si>
  <si>
    <t>C107003</t>
  </si>
  <si>
    <t>C576726</t>
  </si>
  <si>
    <t>C15849</t>
  </si>
  <si>
    <t>C161305</t>
  </si>
  <si>
    <t>C393684</t>
  </si>
  <si>
    <t>C2936977</t>
  </si>
  <si>
    <t>C10037</t>
  </si>
  <si>
    <t>C2649308</t>
  </si>
  <si>
    <t>C20416183</t>
  </si>
  <si>
    <t>C2934937</t>
  </si>
  <si>
    <t>C845060</t>
  </si>
  <si>
    <t>C83511</t>
  </si>
  <si>
    <t>C19185922</t>
  </si>
  <si>
    <t>C106232</t>
  </si>
  <si>
    <t>C106231</t>
  </si>
  <si>
    <t>C852501</t>
  </si>
  <si>
    <t>C852538</t>
  </si>
  <si>
    <t>C114762</t>
  </si>
  <si>
    <t>C93943</t>
  </si>
  <si>
    <t>C60490</t>
  </si>
  <si>
    <t>C114765</t>
  </si>
  <si>
    <t>C105871</t>
  </si>
  <si>
    <t>C861631</t>
  </si>
  <si>
    <t>C114625</t>
  </si>
  <si>
    <t>C155745</t>
  </si>
  <si>
    <t>C100044</t>
  </si>
  <si>
    <t>C93942</t>
  </si>
  <si>
    <t>C60491</t>
  </si>
  <si>
    <t>C854355</t>
  </si>
  <si>
    <t>C144054</t>
  </si>
  <si>
    <t>C114764</t>
  </si>
  <si>
    <t>C105578</t>
  </si>
  <si>
    <t>C3016381</t>
  </si>
  <si>
    <t>C274002</t>
  </si>
  <si>
    <t>C274009</t>
  </si>
  <si>
    <t>C25896</t>
  </si>
  <si>
    <t>C95177</t>
  </si>
  <si>
    <t>C844911</t>
  </si>
  <si>
    <t>C865406</t>
  </si>
  <si>
    <t>C865135</t>
  </si>
  <si>
    <t>C313354</t>
  </si>
  <si>
    <t>C26988</t>
  </si>
  <si>
    <t>C724006</t>
  </si>
  <si>
    <t>C705720</t>
  </si>
  <si>
    <t>C231329</t>
  </si>
  <si>
    <t>C2888427</t>
  </si>
  <si>
    <t>C2940552</t>
  </si>
  <si>
    <t>C499919</t>
  </si>
  <si>
    <t>C2803248</t>
  </si>
  <si>
    <t>C2859017</t>
  </si>
  <si>
    <t>C13755</t>
  </si>
  <si>
    <t>C2763561</t>
  </si>
  <si>
    <t>C78988</t>
  </si>
  <si>
    <t>C157537</t>
  </si>
  <si>
    <t>C521573</t>
  </si>
  <si>
    <t>C70590</t>
  </si>
  <si>
    <t>C255883</t>
  </si>
  <si>
    <t>10uF</t>
  </si>
  <si>
    <t>22uF</t>
  </si>
  <si>
    <t>1uF</t>
  </si>
  <si>
    <t>4.7uF</t>
  </si>
  <si>
    <t>0.1uF</t>
  </si>
  <si>
    <t>22PF</t>
  </si>
  <si>
    <t>2.2uF</t>
  </si>
  <si>
    <t>100nF</t>
  </si>
  <si>
    <t>DNP</t>
  </si>
  <si>
    <t>1nF</t>
  </si>
  <si>
    <t>150pF</t>
  </si>
  <si>
    <t>15pF</t>
  </si>
  <si>
    <t>22pF</t>
  </si>
  <si>
    <t>270pF</t>
  </si>
  <si>
    <t>0.01uF</t>
  </si>
  <si>
    <t>12pF</t>
  </si>
  <si>
    <t>390pF</t>
  </si>
  <si>
    <t>47pF</t>
  </si>
  <si>
    <t>300R</t>
  </si>
  <si>
    <t>470nH</t>
  </si>
  <si>
    <t>2.2uH</t>
  </si>
  <si>
    <t>6.8uH</t>
  </si>
  <si>
    <t>100R</t>
  </si>
  <si>
    <t>0R</t>
  </si>
  <si>
    <t>120K</t>
  </si>
  <si>
    <t>150K</t>
  </si>
  <si>
    <t>2.2K</t>
  </si>
  <si>
    <t>47K</t>
  </si>
  <si>
    <t>10K</t>
  </si>
  <si>
    <t>22R</t>
  </si>
  <si>
    <t>4.7K</t>
  </si>
  <si>
    <t>110K</t>
  </si>
  <si>
    <t>49.9R</t>
  </si>
  <si>
    <t>240R</t>
  </si>
  <si>
    <t>20K</t>
  </si>
  <si>
    <t>36K</t>
  </si>
  <si>
    <t>100K</t>
  </si>
  <si>
    <t>510R</t>
  </si>
  <si>
    <t>1M</t>
  </si>
  <si>
    <t>200R</t>
  </si>
  <si>
    <t>69.8K</t>
  </si>
  <si>
    <t>3.09K</t>
  </si>
  <si>
    <t>5.23K</t>
  </si>
  <si>
    <t>47.5K</t>
  </si>
  <si>
    <t>15mR</t>
  </si>
  <si>
    <t>32.4K</t>
  </si>
  <si>
    <t>10.4K</t>
  </si>
  <si>
    <t>1K</t>
  </si>
  <si>
    <t>84.5k</t>
  </si>
  <si>
    <t>270K</t>
  </si>
  <si>
    <t>32.768kHz</t>
  </si>
  <si>
    <t>24MHZ</t>
  </si>
  <si>
    <t>25MHz</t>
  </si>
  <si>
    <t>Quantity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</si>
  <si>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</si>
  <si>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</si>
  <si>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</si>
  <si>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</si>
  <si>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</si>
  <si>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</si>
  <si>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</si>
  <si>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</si>
  <si>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LCSC</t>
  </si>
  <si>
    <t>-</t>
  </si>
  <si>
    <t>IND-0603</t>
  </si>
  <si>
    <t>Custom</t>
  </si>
  <si>
    <t>DO NOT PLACE</t>
  </si>
  <si>
    <t>GRM1555C1H391JA01D</t>
  </si>
  <si>
    <t>C76967</t>
  </si>
  <si>
    <t>CHipsmall</t>
  </si>
  <si>
    <t>NCD0402C1</t>
  </si>
  <si>
    <t>C130722</t>
  </si>
  <si>
    <t>NCD0402Y1</t>
  </si>
  <si>
    <t>C130721</t>
  </si>
  <si>
    <t>-------</t>
  </si>
  <si>
    <t>C114755</t>
  </si>
  <si>
    <t>C21189</t>
  </si>
  <si>
    <t>0603WAF0000T5E</t>
  </si>
  <si>
    <t>ERJ2RKF3602X</t>
  </si>
  <si>
    <t>C409031</t>
  </si>
  <si>
    <t>C7465</t>
  </si>
  <si>
    <t xml:space="preserve">Power Section - Buck_LDO / RK809 / Processor - RV1126 </t>
  </si>
  <si>
    <t>Power Section - Audio</t>
  </si>
  <si>
    <t>C134, C135</t>
  </si>
  <si>
    <t>CAP CER 1000PF 25V C0G/NPO 0603</t>
  </si>
  <si>
    <t>CAP-0603</t>
  </si>
  <si>
    <t>CC0603JRNPO8BN102</t>
  </si>
  <si>
    <t>C309470</t>
  </si>
  <si>
    <t>C136</t>
  </si>
  <si>
    <t>CAP CER 1UF 25V X5R 0603</t>
  </si>
  <si>
    <t>CC0603KRX5R8BB105</t>
  </si>
  <si>
    <t>C14664</t>
  </si>
  <si>
    <t>C137</t>
  </si>
  <si>
    <t>CAP CER 2200PF 50V X7R 0603</t>
  </si>
  <si>
    <t>CC0603KRX7R9BB222</t>
  </si>
  <si>
    <t>C107082</t>
  </si>
  <si>
    <t>2.2nF</t>
  </si>
  <si>
    <t>C138</t>
  </si>
  <si>
    <t>MLCC 3.3nF 50V X7R 0603</t>
  </si>
  <si>
    <t>0603B332K500CT</t>
  </si>
  <si>
    <t>Walsin Technologies</t>
  </si>
  <si>
    <t>C302028</t>
  </si>
  <si>
    <t>3.3nF</t>
  </si>
  <si>
    <t>C139, C140</t>
  </si>
  <si>
    <t>C141</t>
  </si>
  <si>
    <t>C142, C143</t>
  </si>
  <si>
    <t>CAP CER 22UF 35V X5R 0805</t>
  </si>
  <si>
    <t>C2012X5R1V226MT000E</t>
  </si>
  <si>
    <t>TDK Corporation</t>
  </si>
  <si>
    <t>C338080</t>
  </si>
  <si>
    <t>C144</t>
  </si>
  <si>
    <t>CAP CER 56PF 50V C0G/NPO 0402</t>
  </si>
  <si>
    <t>CC0402FRNPO9BN560</t>
  </si>
  <si>
    <t>C526981</t>
  </si>
  <si>
    <t>56pF</t>
  </si>
  <si>
    <t>D33, D34</t>
  </si>
  <si>
    <t xml:space="preserve">DFN1006-2L </t>
  </si>
  <si>
    <t>FB12, FB13</t>
  </si>
  <si>
    <t>FERRITE BEAD 1K OHM 1206 1LN</t>
  </si>
  <si>
    <t>IND-1206</t>
  </si>
  <si>
    <t>BLM31KN102SN1L</t>
  </si>
  <si>
    <t>C560056</t>
  </si>
  <si>
    <t>JST Connector</t>
  </si>
  <si>
    <t>J3</t>
  </si>
  <si>
    <t>1x2P XH 1 2.54mm 2.54mm Male pin 2 -25℃~+85℃ 3A Straight Straight,P=2.5mm Wire To Board / Wire To Wire Connector ROHS</t>
  </si>
  <si>
    <t>HC-XH-2A-G</t>
  </si>
  <si>
    <t>HCTL</t>
  </si>
  <si>
    <t>C5341201</t>
  </si>
  <si>
    <t>L6</t>
  </si>
  <si>
    <t>2A 68uH ±20% 2.5A SMD,6.6x7.1mm Power Inductors ROHS</t>
  </si>
  <si>
    <t>PSPMAA0605H-680M-IGF</t>
  </si>
  <si>
    <t>PROD Tech</t>
  </si>
  <si>
    <t>C2983094</t>
  </si>
  <si>
    <t>68uH</t>
  </si>
  <si>
    <t>LED4</t>
  </si>
  <si>
    <t>LED YELLOW CLEAR CHIP SMD</t>
  </si>
  <si>
    <t>XZMYK68W-2</t>
  </si>
  <si>
    <t>Mosfet</t>
  </si>
  <si>
    <t>Q1</t>
  </si>
  <si>
    <t>40V 100mW 100@10mA,1V 200mA 300MHz 300mV@50mA,5mA NPN -55℃~+150℃@(Tj) SOT-723 Bipolar Transistors - BJT ROHS</t>
  </si>
  <si>
    <t>SOT-723</t>
  </si>
  <si>
    <t>MMBT3904M</t>
  </si>
  <si>
    <t>C2923360</t>
  </si>
  <si>
    <t>R12</t>
  </si>
  <si>
    <t>R13, R70</t>
  </si>
  <si>
    <t>R71</t>
  </si>
  <si>
    <t>R72, R73</t>
  </si>
  <si>
    <t>RES 453K OHM 1% 1/10W 0603</t>
  </si>
  <si>
    <t>RC0603FR-07453KL</t>
  </si>
  <si>
    <t>C273765</t>
  </si>
  <si>
    <t>453K</t>
  </si>
  <si>
    <t>R74</t>
  </si>
  <si>
    <t>RES SMD 332K OHM 0.1% 1/10W 0603</t>
  </si>
  <si>
    <t>RT0603BRD07332KL</t>
  </si>
  <si>
    <t>C861329</t>
  </si>
  <si>
    <t>332K</t>
  </si>
  <si>
    <t>R75, R78</t>
  </si>
  <si>
    <t>RES SMD 100K OHM 1% 1/10W 0603</t>
  </si>
  <si>
    <t>C844916</t>
  </si>
  <si>
    <t>R76</t>
  </si>
  <si>
    <t>RES 49.9K OHM 1% 1/10W 0603</t>
  </si>
  <si>
    <t>RC0603FR-0749K9L</t>
  </si>
  <si>
    <t>C114624</t>
  </si>
  <si>
    <t>49K9</t>
  </si>
  <si>
    <t>R77</t>
  </si>
  <si>
    <t>U6</t>
  </si>
  <si>
    <t>SOP-8-EP Audio Power OpAmps ROHS</t>
  </si>
  <si>
    <t>8-SOIC-EP</t>
  </si>
  <si>
    <t>NS4110B</t>
  </si>
  <si>
    <t>Shenzhen Nsiway Tech</t>
  </si>
  <si>
    <t>C5334145</t>
  </si>
  <si>
    <t>U8</t>
  </si>
  <si>
    <t>IC REG BUCK ADJ 1A 8SOPWR</t>
  </si>
  <si>
    <t>8-SO-EP_</t>
  </si>
  <si>
    <t>LM5164DDAR</t>
  </si>
  <si>
    <t>C477928</t>
  </si>
  <si>
    <t>Ethernet - POE</t>
  </si>
  <si>
    <t>C119, C248, C214, C215, C216, C217</t>
  </si>
  <si>
    <t>C120, C223, C233, C238, C239, C275</t>
  </si>
  <si>
    <t>CAP CER 1UF 16V X5R 0402</t>
  </si>
  <si>
    <t>CC0402KRX5R7BB105</t>
  </si>
  <si>
    <t>C325464</t>
  </si>
  <si>
    <t>C121, C124, C125, C219, C220, C221, C222, C224, C225, C226, C227, C228, C229, C230, C234, C235, C236, C237, C240, C241, C242, C243, C276</t>
  </si>
  <si>
    <t>C122, C123, C131, C213, C277</t>
  </si>
  <si>
    <t>CAP CER 1000PF 2KV X7R 1206</t>
  </si>
  <si>
    <t>Cap-1206</t>
  </si>
  <si>
    <t>CC1206KKX7RDBB102</t>
  </si>
  <si>
    <t>C23631</t>
  </si>
  <si>
    <t>1000pF</t>
  </si>
  <si>
    <t>C208, C209, C210, C211</t>
  </si>
  <si>
    <t>CAP CER 10000PF 50V X7R 0402</t>
  </si>
  <si>
    <t>CC0402KRX7R9BB103</t>
  </si>
  <si>
    <t>C60133</t>
  </si>
  <si>
    <t>10nF</t>
  </si>
  <si>
    <t>C218</t>
  </si>
  <si>
    <t>CAP CER 10000PF 100V X7R 0402</t>
  </si>
  <si>
    <t>CC0402KRX7R0BB103</t>
  </si>
  <si>
    <t>C527014</t>
  </si>
  <si>
    <t>C231, C232</t>
  </si>
  <si>
    <t>C245</t>
  </si>
  <si>
    <t>CAP ALUM 100UF 20% 100V SMD</t>
  </si>
  <si>
    <t>EEE-FK2A101AM</t>
  </si>
  <si>
    <t>Panasonic</t>
  </si>
  <si>
    <t>C178569</t>
  </si>
  <si>
    <t>100uF</t>
  </si>
  <si>
    <t>C246, C247, C269, C270</t>
  </si>
  <si>
    <t>CAP CER 1000PF 100V X7R 0603</t>
  </si>
  <si>
    <t>06031C102JAT2A</t>
  </si>
  <si>
    <t>C2179225</t>
  </si>
  <si>
    <t>D4</t>
  </si>
  <si>
    <t>DIODE ZENER 12V 200MW SOD323</t>
  </si>
  <si>
    <t>SOD-323</t>
  </si>
  <si>
    <t>MMSZ5242BS-7-F</t>
  </si>
  <si>
    <t>C151457</t>
  </si>
  <si>
    <t>D5, D27</t>
  </si>
  <si>
    <t>100V 400mW Single 1.25V@150mA 8ns 300mA SOD-123 Switching Diode ROHS</t>
  </si>
  <si>
    <t>SOD-123</t>
  </si>
  <si>
    <t>1N4148W</t>
  </si>
  <si>
    <t>JSMSEMI</t>
  </si>
  <si>
    <t>C917030</t>
  </si>
  <si>
    <t>D6, D7, D8, D9, D10, D11, D12, D13, D25, D26, D30, D31</t>
  </si>
  <si>
    <t>DFN1006-2 ESD Protection Devices ROHS</t>
  </si>
  <si>
    <t>DFN1006-2L_</t>
  </si>
  <si>
    <t>ESD9X5VU</t>
  </si>
  <si>
    <t>C2875160</t>
  </si>
  <si>
    <t>D23, D24, D28</t>
  </si>
  <si>
    <t>TVS DIODE 58VWM 93.6VC SMB</t>
  </si>
  <si>
    <t>SMB_</t>
  </si>
  <si>
    <t>SMBJ58A-13-F</t>
  </si>
  <si>
    <t>C135085</t>
  </si>
  <si>
    <t>D41</t>
  </si>
  <si>
    <t>DIODE SCHOTTKY 100V 2A SMB</t>
  </si>
  <si>
    <t>B2100-13-F</t>
  </si>
  <si>
    <t>C110479</t>
  </si>
  <si>
    <t>FB2, FB6</t>
  </si>
  <si>
    <t>150mΩ ±25% 300Ω@100MHz 0603 Ferrite Beads ROHS</t>
  </si>
  <si>
    <t>IND-0603 (1608 Metric)</t>
  </si>
  <si>
    <t>ACMS160808A3012A</t>
  </si>
  <si>
    <t>HYHONGYEX</t>
  </si>
  <si>
    <t>C963867</t>
  </si>
  <si>
    <t>FB3, FB4, FB5, FB7, FB8, FB9, FB10</t>
  </si>
  <si>
    <t>Modular / Ethernet Connectors</t>
  </si>
  <si>
    <t>J1</t>
  </si>
  <si>
    <t>Modular Connectors / Ethernet Connectors 1000Base-T RJ45 1X1 1GPoE 140W</t>
  </si>
  <si>
    <t>JK0-0229NL</t>
  </si>
  <si>
    <t>Pulse</t>
  </si>
  <si>
    <t>Chipsmall</t>
  </si>
  <si>
    <t>Ethernet Connectors</t>
  </si>
  <si>
    <t>J11</t>
  </si>
  <si>
    <t>CONN MOD JACK 8P8C R/A SHIELDED</t>
  </si>
  <si>
    <t>2-406549-1</t>
  </si>
  <si>
    <t>TE Connectivity</t>
  </si>
  <si>
    <t>C125068</t>
  </si>
  <si>
    <t>Terminal Blocks</t>
  </si>
  <si>
    <t>J13</t>
  </si>
  <si>
    <t>TERM BLK 2P SIDE ENT 5.08MM PCB</t>
  </si>
  <si>
    <t>Phoenix Contact</t>
  </si>
  <si>
    <t>C480516</t>
  </si>
  <si>
    <t>Q5, Q6</t>
  </si>
  <si>
    <t>GREENBRIDGETM 2 SERIES OF HIGH-E</t>
  </si>
  <si>
    <t>12-MLP (5x4.5)</t>
  </si>
  <si>
    <t>FDMQ8205A</t>
  </si>
  <si>
    <t>ON Semiconductor / Fairchild</t>
  </si>
  <si>
    <t>BJTs</t>
  </si>
  <si>
    <t>Q7, Q8, Q9, Q12</t>
  </si>
  <si>
    <t>TRANS NPN 80V 0.5A SOT23-3</t>
  </si>
  <si>
    <t>SOT-23</t>
  </si>
  <si>
    <t>MMBTA06-7-F</t>
  </si>
  <si>
    <t>C151597</t>
  </si>
  <si>
    <t>Q10, Q11</t>
  </si>
  <si>
    <t>MOSFET N-CH 100V 15A 8VSON</t>
  </si>
  <si>
    <t>VSONP-8(3.1x3.1)</t>
  </si>
  <si>
    <t>CSD19538Q3A</t>
  </si>
  <si>
    <t>C478471</t>
  </si>
  <si>
    <t>R40, R41, R42, R127</t>
  </si>
  <si>
    <t>RES 6.8K OHM 1% 1/16W 0402</t>
  </si>
  <si>
    <t>RC0402FR-076K8L</t>
  </si>
  <si>
    <t>C93940</t>
  </si>
  <si>
    <t>6.8K</t>
  </si>
  <si>
    <t>R43</t>
  </si>
  <si>
    <t>R44, R45, R46, R47, R48, R49, R50, R51</t>
  </si>
  <si>
    <t>R52</t>
  </si>
  <si>
    <t>RES 1K OHM 1% 1/16W 0402</t>
  </si>
  <si>
    <t>RC0402FR-071KL</t>
  </si>
  <si>
    <t>C106235</t>
  </si>
  <si>
    <t>Resistors</t>
  </si>
  <si>
    <t>R53</t>
  </si>
  <si>
    <t>RES 2.49K OHM 1% 1/16W 0402</t>
  </si>
  <si>
    <t>RC0402FR-072K49L</t>
  </si>
  <si>
    <t>C145071</t>
  </si>
  <si>
    <t>2.49K</t>
  </si>
  <si>
    <t>R54, R55, R58, R61, R64, R131, R132, R133, R134, R135, R136, R137, R138, R139, R140, R141, R142, R143, R144, R145, R146, R147, R148, R149</t>
  </si>
  <si>
    <t>R56, R57, R59, R60</t>
  </si>
  <si>
    <t>RES 470 OHM 1% 1/16W 0402</t>
  </si>
  <si>
    <t>RC0402FR-07470RL</t>
  </si>
  <si>
    <t>C114877</t>
  </si>
  <si>
    <t>470R</t>
  </si>
  <si>
    <t>R62, R63, R66, R67, R122, R155</t>
  </si>
  <si>
    <t>R65</t>
  </si>
  <si>
    <t>R123, R124, R125, R126, R190, R191, R192, R193, R196, R197, R198, R199</t>
  </si>
  <si>
    <t>RES 75 OHM 5% 1/16W 0402</t>
  </si>
  <si>
    <t>RC0402JR-0775RL</t>
  </si>
  <si>
    <t>C137841</t>
  </si>
  <si>
    <t>75R</t>
  </si>
  <si>
    <t>R128, R129</t>
  </si>
  <si>
    <t>RES 20K OHM 1% 1/10W 0603</t>
  </si>
  <si>
    <t>RC0603FR-0720KL</t>
  </si>
  <si>
    <t>C105575</t>
  </si>
  <si>
    <t>R130, R158, R159, R160</t>
  </si>
  <si>
    <t>RES SMD 8.2K OHM 0.1% 1/16W 0402</t>
  </si>
  <si>
    <t>RT0402BRD078K2L</t>
  </si>
  <si>
    <t>C852943</t>
  </si>
  <si>
    <t>8.2K</t>
  </si>
  <si>
    <t>R150</t>
  </si>
  <si>
    <t>RES SMD 7.68KOHM 0.1% 1/16W 0402</t>
  </si>
  <si>
    <t>RT0402BRD077K68L</t>
  </si>
  <si>
    <t>C852919</t>
  </si>
  <si>
    <t>7.68K</t>
  </si>
  <si>
    <t>R151, R152</t>
  </si>
  <si>
    <t>RES 0.2 OHM 1% 1W 1206</t>
  </si>
  <si>
    <t>PE1206FRF470R2L</t>
  </si>
  <si>
    <t>C723709</t>
  </si>
  <si>
    <t>200mR</t>
  </si>
  <si>
    <t>R153</t>
  </si>
  <si>
    <t>62.5mW Thick Film Resistors 50V ±100ppm/℃ ±1% 15.8kΩ 0402 Chip Resistor - Surface Mount ROHS</t>
  </si>
  <si>
    <t>0402WGF1582TCE</t>
  </si>
  <si>
    <t>Royal Electronic Factory</t>
  </si>
  <si>
    <t>C26956</t>
  </si>
  <si>
    <t>R154</t>
  </si>
  <si>
    <t>RES 11K OHM 1% 1/16W 0402</t>
  </si>
  <si>
    <t>RC0402FR-0711KL</t>
  </si>
  <si>
    <t>C138063</t>
  </si>
  <si>
    <t>R161</t>
  </si>
  <si>
    <t>100mW Thick Film Resistors 75V ±100ppm/℃ ±1% 24.9kΩ 0603 Chip Resistor - Surface Mount ROHS</t>
  </si>
  <si>
    <t>0603WAF2492T5E</t>
  </si>
  <si>
    <t>C25962</t>
  </si>
  <si>
    <t>24.9K</t>
  </si>
  <si>
    <t>R162</t>
  </si>
  <si>
    <t>RES 53.6K OHM 1% 1/10W 0603</t>
  </si>
  <si>
    <t>RC0603FR-0753K6L</t>
  </si>
  <si>
    <t>C137700</t>
  </si>
  <si>
    <t>53.6K</t>
  </si>
  <si>
    <t>R163, R164, R165, R166, R169</t>
  </si>
  <si>
    <t>R167</t>
  </si>
  <si>
    <t>RES SMD 63.4 OHM 1% 1/10W 0603</t>
  </si>
  <si>
    <t>AC0603FR-0763R4L</t>
  </si>
  <si>
    <t>C228004</t>
  </si>
  <si>
    <t>63.4R</t>
  </si>
  <si>
    <t>R168</t>
  </si>
  <si>
    <t>RES SMD 90.9 OHM 0.1% 1/10W 0603</t>
  </si>
  <si>
    <t>RT0603BRD0790R9L</t>
  </si>
  <si>
    <t>C861597</t>
  </si>
  <si>
    <t>90.9R</t>
  </si>
  <si>
    <t>Potentiometer</t>
  </si>
  <si>
    <t>R170</t>
  </si>
  <si>
    <t>TRIMMER 2K OHM 0.5W PC PIN TOP</t>
  </si>
  <si>
    <t>3362P-1-202LF</t>
  </si>
  <si>
    <t>Bourns</t>
  </si>
  <si>
    <t>C111654</t>
  </si>
  <si>
    <t>2K</t>
  </si>
  <si>
    <t>R171</t>
  </si>
  <si>
    <t>RES SMD 1K OHM 1% 1/10W 0603</t>
  </si>
  <si>
    <t>RC0603FR-071KL</t>
  </si>
  <si>
    <t>C22548</t>
  </si>
  <si>
    <t>R194</t>
  </si>
  <si>
    <t>RES 1.5K OHM 1% 1/16W 0402</t>
  </si>
  <si>
    <t>RC0402FR-071K5L</t>
  </si>
  <si>
    <t>C114759</t>
  </si>
  <si>
    <t>1.5K</t>
  </si>
  <si>
    <t>Transformers</t>
  </si>
  <si>
    <t>T1</t>
  </si>
  <si>
    <t>PULSE XFMR 1CT:1CT TX 1CT:1CT RX</t>
  </si>
  <si>
    <t>U16</t>
  </si>
  <si>
    <t>QFN-76 Ethernet Transceivers ROHS</t>
  </si>
  <si>
    <t>QFN-76</t>
  </si>
  <si>
    <t>RTL8363NB-VB-CG</t>
  </si>
  <si>
    <t>Realtek Semicon</t>
  </si>
  <si>
    <t>C2835942</t>
  </si>
  <si>
    <t>U17</t>
  </si>
  <si>
    <t>TYPE-4, FOUR-PAIR, 8-CHANNEL POE</t>
  </si>
  <si>
    <t>56-VQFN (8x8)</t>
  </si>
  <si>
    <t>TPS23881B1RTQR</t>
  </si>
  <si>
    <t>Digikey</t>
  </si>
  <si>
    <t>U18</t>
  </si>
  <si>
    <t>IC POE CNTRL 1 CHANNEL 20VQFN</t>
  </si>
  <si>
    <t>VQFN-20-EP(5x5)</t>
  </si>
  <si>
    <t>TPS2372-4RGWR</t>
  </si>
  <si>
    <t>C470955</t>
  </si>
  <si>
    <t>X2</t>
  </si>
  <si>
    <t>Peripheral - Camera</t>
  </si>
  <si>
    <t>C132, C146, C148, C149, C151, C153, C154, C155, C156, C157, C158, C212</t>
  </si>
  <si>
    <t>C145, C147, C150, C152</t>
  </si>
  <si>
    <t>C185, C186, C187, C188</t>
  </si>
  <si>
    <t>D15, D16</t>
  </si>
  <si>
    <t>DFN1006-2L)</t>
  </si>
  <si>
    <t>FFC Connector</t>
  </si>
  <si>
    <t>J4, J5</t>
  </si>
  <si>
    <t>CONN FFC BOTTOM 24POS 0.50MM R/A</t>
  </si>
  <si>
    <t>FH12-24S-0.5SH(55)</t>
  </si>
  <si>
    <t>Hirose</t>
  </si>
  <si>
    <t>C202112</t>
  </si>
  <si>
    <t>J7</t>
  </si>
  <si>
    <t>CONN HEADER SMD R/A 6POS 2MM</t>
  </si>
  <si>
    <t>S6B-PH-SM4-TB(LF)(SN)</t>
  </si>
  <si>
    <t>JST</t>
  </si>
  <si>
    <t>C265405</t>
  </si>
  <si>
    <t>Connectors</t>
  </si>
  <si>
    <t>J8</t>
  </si>
  <si>
    <t>CONN HEADER SMD R/A 4POS 2MM</t>
  </si>
  <si>
    <t>S4B-PH-SM4-TB(LF)(SN)</t>
  </si>
  <si>
    <t>C265102</t>
  </si>
  <si>
    <t>R87, R88</t>
  </si>
  <si>
    <t>RES SMD 0 OHM JUMPER 1/5W 0402</t>
  </si>
  <si>
    <t>RCS04020000Z0ED</t>
  </si>
  <si>
    <t>C844673</t>
  </si>
  <si>
    <t>R104, R105</t>
  </si>
  <si>
    <t>RES 51K OHM 1% 1/16W 0402</t>
  </si>
  <si>
    <t>RC0402FR-0751KL</t>
  </si>
  <si>
    <t>C107229</t>
  </si>
  <si>
    <t>51K</t>
  </si>
  <si>
    <t>R109</t>
  </si>
  <si>
    <t>R203, R204, R205, R206</t>
  </si>
  <si>
    <t>U12, U13</t>
  </si>
  <si>
    <t>SOIC-8 Brushed DC Motor Drivers ROHS</t>
  </si>
  <si>
    <t>SOIC-8</t>
  </si>
  <si>
    <t>BA6208(MS)</t>
  </si>
  <si>
    <t>MSKSEMI</t>
  </si>
  <si>
    <t>C20627211</t>
  </si>
  <si>
    <t>C175, C179, C180</t>
  </si>
  <si>
    <t>C176, C177, C178, C181</t>
  </si>
  <si>
    <t>D14</t>
  </si>
  <si>
    <t>DIODE SCHOTTKY 40V 1A SOD123</t>
  </si>
  <si>
    <t>1N5819HW-7-F</t>
  </si>
  <si>
    <t>C82544</t>
  </si>
  <si>
    <t>FFC / FPC Connector</t>
  </si>
  <si>
    <t>J6</t>
  </si>
  <si>
    <t>CONN FFC BOTTOM 30POS 0.5MM R/A</t>
  </si>
  <si>
    <t>TF31-30S-0.5SH(800)</t>
  </si>
  <si>
    <t>C5137133</t>
  </si>
  <si>
    <t>R96, R97</t>
  </si>
  <si>
    <t>R98</t>
  </si>
  <si>
    <t>R99</t>
  </si>
  <si>
    <t>R100</t>
  </si>
  <si>
    <t>U11</t>
  </si>
  <si>
    <t>SOT-23-5 Power Distribution Switches ROHS</t>
  </si>
  <si>
    <t>SY6280AAC</t>
  </si>
  <si>
    <t>C55136</t>
  </si>
  <si>
    <t>Peripheral - HDMI Debugging</t>
  </si>
  <si>
    <t>C189</t>
  </si>
  <si>
    <t>CAP CER 22UF 10V X5R 0603</t>
  </si>
  <si>
    <t>CC0603MRX5R6BB226</t>
  </si>
  <si>
    <t>C190, C191, C192, C193</t>
  </si>
  <si>
    <t>C194</t>
  </si>
  <si>
    <t>C195, C196</t>
  </si>
  <si>
    <t>CAP CER 47UF 25V X5R 1206</t>
  </si>
  <si>
    <t>GRM31CR61E476ME44L</t>
  </si>
  <si>
    <t>C403725</t>
  </si>
  <si>
    <t>47uF</t>
  </si>
  <si>
    <t>D17, D32</t>
  </si>
  <si>
    <t>16A 20V 7V 5V@Max Unidirectional SOT-23 TVS ROHS</t>
  </si>
  <si>
    <t>Sot-23</t>
  </si>
  <si>
    <t>ESD5302F-3/TR</t>
  </si>
  <si>
    <t>WILLSEMI</t>
  </si>
  <si>
    <t>C239643</t>
  </si>
  <si>
    <t>ESD Diode</t>
  </si>
  <si>
    <t>D18, D19</t>
  </si>
  <si>
    <t>DFN1006-2L ESD Protection Devices ROHS</t>
  </si>
  <si>
    <t>ESD5471X</t>
  </si>
  <si>
    <t>C3011180</t>
  </si>
  <si>
    <t>D20, D21</t>
  </si>
  <si>
    <t>D22</t>
  </si>
  <si>
    <t>Wire To Board Connector</t>
  </si>
  <si>
    <t>J2</t>
  </si>
  <si>
    <t>1x4P 4P XH 1 Tin 2.5mm 4 -25℃~+85℃ Brass 3A Straight Plugin,P=2.5mm Wire To Board Connector ROHS</t>
  </si>
  <si>
    <t>XH-4A-L</t>
  </si>
  <si>
    <t>C2979569</t>
  </si>
  <si>
    <t>USB B Connector</t>
  </si>
  <si>
    <t>J9</t>
  </si>
  <si>
    <t>CONN RCPT USB2.0 MICRO B SMD R/A</t>
  </si>
  <si>
    <t>10118194-0001LF</t>
  </si>
  <si>
    <t>Amphenol FCI</t>
  </si>
  <si>
    <t>C132563</t>
  </si>
  <si>
    <t>Male Header</t>
  </si>
  <si>
    <t>J10</t>
  </si>
  <si>
    <t>Gold 250V 3A Straight Square Pins 2.5mm 3P 260℃ 6mm -40℃~+105℃ 3mm 2.54mm Plugin Black Brass 1x3P Plugin,P=2.54mm Pin Headers ROHS</t>
  </si>
  <si>
    <t>HDR1X3_</t>
  </si>
  <si>
    <t>X6511WV-03H-C60D30</t>
  </si>
  <si>
    <t>XKB</t>
  </si>
  <si>
    <t>C706875</t>
  </si>
  <si>
    <t>Transistor</t>
  </si>
  <si>
    <t>Q4</t>
  </si>
  <si>
    <t>40V 300mW 200mA PNP SOT-23(TO-236) Bipolar Transistors - BJT ROHS</t>
  </si>
  <si>
    <t>MMBT3906</t>
  </si>
  <si>
    <t>YONGYUTAI</t>
  </si>
  <si>
    <t>C2891809</t>
  </si>
  <si>
    <t>R106</t>
  </si>
  <si>
    <t>RES 18K OHM 1% 1/16W 0402</t>
  </si>
  <si>
    <t>RC0402FR-0718KL</t>
  </si>
  <si>
    <t>C138044</t>
  </si>
  <si>
    <t>18K</t>
  </si>
  <si>
    <t>R107, R110, R207</t>
  </si>
  <si>
    <t>R108, R116</t>
  </si>
  <si>
    <t>R111</t>
  </si>
  <si>
    <t>R112, R201</t>
  </si>
  <si>
    <t>R113</t>
  </si>
  <si>
    <t>R114</t>
  </si>
  <si>
    <t>RES SMD 220 OHM 1% 1/10W 0603</t>
  </si>
  <si>
    <t>C844757</t>
  </si>
  <si>
    <t>220R</t>
  </si>
  <si>
    <t>R115</t>
  </si>
  <si>
    <t>R117</t>
  </si>
  <si>
    <t>R202</t>
  </si>
  <si>
    <t>U14</t>
  </si>
  <si>
    <t>Peripheral - USB Debugging</t>
  </si>
  <si>
    <t>CL10A226MP8NUNE</t>
  </si>
  <si>
    <t>C86295</t>
  </si>
  <si>
    <t>CRCW0603100KFKEA</t>
  </si>
  <si>
    <t>Vishay Intertech</t>
  </si>
  <si>
    <t>Peripheral - Mic</t>
  </si>
  <si>
    <t>C182, C183</t>
  </si>
  <si>
    <t>C184</t>
  </si>
  <si>
    <t>FB1</t>
  </si>
  <si>
    <t>0603 180Ω ±25% DCR=0.09Ω 1.5A</t>
  </si>
  <si>
    <t>BLM18PG181SN1D</t>
  </si>
  <si>
    <t>C82850</t>
  </si>
  <si>
    <t>Microphones</t>
  </si>
  <si>
    <t>MIC1</t>
  </si>
  <si>
    <t>Omnidirectional -26dB 57dB SMD-6P,4.7x3.8mm MEMS Microphones ROHS</t>
  </si>
  <si>
    <t>LMD4737T263-OY1</t>
  </si>
  <si>
    <t>LinkMems</t>
  </si>
  <si>
    <t>C5373239</t>
  </si>
  <si>
    <t>R101</t>
  </si>
  <si>
    <t>R102, R103</t>
  </si>
  <si>
    <t>Cutom</t>
  </si>
  <si>
    <t>Camera</t>
  </si>
  <si>
    <t>AS-AA018AA40M2-80</t>
  </si>
  <si>
    <t>Custom Supplier</t>
  </si>
  <si>
    <t>Speaker</t>
  </si>
  <si>
    <t>XGIMI WANBO 3.5 Inch Full Frequency Speaker 15W 4 Ohm 8 Ohm Hifi Speaker Ceiling Car Home Upgrade DIY Audio Loudspeakers</t>
  </si>
  <si>
    <t>AOSIBAO</t>
  </si>
  <si>
    <t>Aliexpress</t>
  </si>
  <si>
    <t xml:space="preserve"> Quantity (10 Boards)</t>
  </si>
  <si>
    <t>MOQ (10 Boards)</t>
  </si>
  <si>
    <t>Unit Cost (10 Boards)</t>
  </si>
  <si>
    <t>Total Cost (10 Boards)</t>
  </si>
  <si>
    <t xml:space="preserve"> Quantity (100 Boards)</t>
  </si>
  <si>
    <t>MOQ (100 Boards)</t>
  </si>
  <si>
    <t>Unit Cost (100 Boards)</t>
  </si>
  <si>
    <t>Total Cost (100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</si>
</sst>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20"/>
      <color theme="1"/>
      <name val="Arial"/>
      <family val="2"/>
    </font>
    <font>
      <b/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164" fontId="5" fillId="2" borderId="3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165" fontId="3" fillId="3" borderId="2" xfId="0" quotePrefix="1" applyNumberFormat="1" applyFont="1" applyFill="1" applyBorder="1" applyAlignment="1">
      <alignment horizontal="center" vertical="center" wrapText="1"/>
    </xf>
    <xf numFmtId="165" fontId="3" fillId="3" borderId="6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8" fillId="2" borderId="3" xfId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5" fillId="2" borderId="3" xfId="0" quotePrefix="1" applyFont="1" applyFill="1" applyBorder="1" applyAlignment="1">
      <alignment horizontal="center" vertical="center" wrapText="1"/>
    </xf>
    <xf numFmtId="164" fontId="9" fillId="2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8" fillId="0" borderId="0" xfId="1" applyAlignment="1">
      <alignment horizontal="center" vertical="center"/>
    </xf>
    <xf numFmtId="0" fontId="1" fillId="2" borderId="0" xfId="0" applyFont="1" applyFill="1" applyBorder="1"/>
    <xf numFmtId="0" fontId="1" fillId="2" borderId="0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top"/>
      <protection locked="0"/>
    </xf>
    <xf numFmtId="0" fontId="7" fillId="3" borderId="1" xfId="0" applyFont="1" applyFill="1" applyBorder="1" applyAlignment="1" applyProtection="1">
      <alignment horizontal="center" vertical="top"/>
      <protection locked="0"/>
    </xf>
    <xf numFmtId="0" fontId="11" fillId="5" borderId="0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8" fillId="0" borderId="0" xfId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FFC-FPC-Flat-Flexible-Connector-Assemblies_HRS-Hirose-FH12-24S-0-5SH-55_C202112.html" TargetMode="External"/><Relationship Id="rId170" Type="http://schemas.openxmlformats.org/officeDocument/2006/relationships/hyperlink" Target="https://www.lcsc.com/product-detail/Schottky-Diodes_Diodes-Incorporated-1N5819HW-7-F_C82544.html" TargetMode="External"/><Relationship Id="rId191" Type="http://schemas.openxmlformats.org/officeDocument/2006/relationships/hyperlink" Target="https://www.lcsc.com/product-detail/Chip-Resistor-Surface-Mount_YAGEO-RC0402FR-07100RL_C106232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6B-PH-SM4-TB-LF-SN_C265405.html" TargetMode="External"/><Relationship Id="rId181" Type="http://schemas.openxmlformats.org/officeDocument/2006/relationships/hyperlink" Target="https://www.lcsc.com/product-detail/Multilayer-Ceramic-Capacitors-MLCC-SMD-SMT_Murata-Electronics-GRM31CR61E476ME44L_C403725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FFC-FPC-Flat-Flexible-Connector-Assemblies_HRS-Hirose-TF31-30S-0-5SH-800_C5137133.html" TargetMode="External"/><Relationship Id="rId192" Type="http://schemas.openxmlformats.org/officeDocument/2006/relationships/hyperlink" Target="https://www.lcsc.com/product-detail/Chip-Resistor-Surface-Mount_YAGEO-RC0402FR-0710KL_C60490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Wire-To-Board-Connector_JST-S4B-PH-SM4-TB-LF-SN_C265102.html" TargetMode="External"/><Relationship Id="rId182" Type="http://schemas.openxmlformats.org/officeDocument/2006/relationships/hyperlink" Target="https://www.lcsc.com/product-detail/ESD-and-Surge-Protection-TVS-ESD_WILLSEMI-Will-Semicon-ESD5302F-3-TR_C239643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0RL_C106231.html" TargetMode="External"/><Relationship Id="rId193" Type="http://schemas.openxmlformats.org/officeDocument/2006/relationships/hyperlink" Target="https://www.lcsc.com/product-detail/Chip-Resistor-Surface-Mount_Vishay-Intertech-CRCW04021K00FKEDHP_C31335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Vishay-Intertech-RCS04020000Z0ED_C844673.html" TargetMode="External"/><Relationship Id="rId183" Type="http://schemas.openxmlformats.org/officeDocument/2006/relationships/hyperlink" Target="https://www.lcsc.com/product-detail/ESD-and-Surge-Protection-TVS-ESD_TECH-PUBLIC-ESD5471X_C3011180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Multilayer-Ceramic-Capacitors-MLCC-SMD-SMT_YAGEO-CC0402KRX5R7BB104_C106204.html" TargetMode="External"/><Relationship Id="rId178" Type="http://schemas.openxmlformats.org/officeDocument/2006/relationships/hyperlink" Target="https://www.lcsc.com/product-detail/Multilayer-Ceramic-Capacitors-MLCC-SMD-SMT_Samsung-Electro-Mechanics-CL10A226MP8NUNE_C86295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6K8L_C93940.html" TargetMode="External"/><Relationship Id="rId194" Type="http://schemas.openxmlformats.org/officeDocument/2006/relationships/hyperlink" Target="https://www.lcsc.com/product-detail/Chip-Resistor-Surface-Mount_YAGEO-RC0402FR-07200RL_C114764.html" TargetMode="External"/><Relationship Id="rId199" Type="http://schemas.openxmlformats.org/officeDocument/2006/relationships/hyperlink" Target="https://www.lcsc.com/product-detail/Microcontrollers-MCU-MPU-SOC_Rockchip-RV1126_C2859017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402KRX5R6BB105_C106254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51KL_C107229.html" TargetMode="External"/><Relationship Id="rId184" Type="http://schemas.openxmlformats.org/officeDocument/2006/relationships/hyperlink" Target="https://www.lcsc.com/product-detail/ESD-and-Surge-Protection-TVS-ESD_TECH-PUBLIC-ESD5451N_C2936977.html" TargetMode="External"/><Relationship Id="rId189" Type="http://schemas.openxmlformats.org/officeDocument/2006/relationships/hyperlink" Target="https://www.lcsc.com/product-detail/Bipolar-BJT_YONGYUTAI-MMBT3906_C2891809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ESD-and-Surge-Protection-TVS-ESD_TECH-PUBLIC-ESD5451N_C2936977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KL_C60490.html" TargetMode="External"/><Relationship Id="rId179" Type="http://schemas.openxmlformats.org/officeDocument/2006/relationships/hyperlink" Target="https://www.lcsc.com/product-detail/Multilayer-Ceramic-Capacitors-MLCC-SMD-SMT_YAGEO-CC0201KRX5R6BB104_C190183.html" TargetMode="External"/><Relationship Id="rId195" Type="http://schemas.openxmlformats.org/officeDocument/2006/relationships/hyperlink" Target="https://www.lcsc.com/product-detail/Chip-Resistor-Surface-Mount_YAGEO-RC0402FR-072K2L_C114762.html" TargetMode="External"/><Relationship Id="rId190" Type="http://schemas.openxmlformats.org/officeDocument/2006/relationships/hyperlink" Target="https://www.lcsc.com/product-detail/Chip-Resistor-Surface-Mount_YAGEO-RC0402FR-0718KL_C138044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0RL_C106231.html" TargetMode="External"/><Relationship Id="rId169" Type="http://schemas.openxmlformats.org/officeDocument/2006/relationships/hyperlink" Target="https://www.lcsc.com/product-detail/Multilayer-Ceramic-Capacitors-MLCC-SMD-SMT_YAGEO-CC0201KRX5R6BB104_C190183.html" TargetMode="External"/><Relationship Id="rId185" Type="http://schemas.openxmlformats.org/officeDocument/2006/relationships/hyperlink" Target="https://www.lcsc.com/product-detail/Schottky-Diodes_Diodes-Incorporated-1N5819HW-7-F_C82544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YAGEO-CC0402KRX5R6BB105_C106254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digikey.com/en/products/detail/texas-instruments/TPS23881B1RTQR/24420995?s=N4IgTCBcDaICoAUDKYDMAOdBGAQlgSnAIr4gC6AvkA" TargetMode="External"/><Relationship Id="rId175" Type="http://schemas.openxmlformats.org/officeDocument/2006/relationships/hyperlink" Target="https://www.lcsc.com/product-detail/Chip-Resistor-Surface-Mount_YAGEO-RC0402FR-07100KL_C60491.html" TargetMode="External"/><Relationship Id="rId196" Type="http://schemas.openxmlformats.org/officeDocument/2006/relationships/hyperlink" Target="https://www.lcsc.com/product-detail/Chip-Resistor-Surface-Mount_Vishay-Intertech-CRCW0603220RFKEA_C844757.html" TargetMode="External"/><Relationship Id="rId200" Type="http://schemas.openxmlformats.org/officeDocument/2006/relationships/hyperlink" Target="https://www.lcsc.com/product-detail/Power-Distribution-Switches_Silergy-Corp-SY6280AAC_C55136.html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Chip-Resistor-Surface-Mount_YAGEO-RC0402FR-072K2L_C114762.html" TargetMode="External"/><Relationship Id="rId186" Type="http://schemas.openxmlformats.org/officeDocument/2006/relationships/hyperlink" Target="https://www.lcsc.com/product-detail/Wire-To-Board-Connector_HCTL-XH-4A-L_C2979569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201KRX5R6BB104_C190183.html" TargetMode="External"/><Relationship Id="rId176" Type="http://schemas.openxmlformats.org/officeDocument/2006/relationships/hyperlink" Target="https://www.lcsc.com/product-detail/Microcontrollers-MCU-MPU-SOC_Rockchip-RV1126_C2859017.html" TargetMode="External"/><Relationship Id="rId197" Type="http://schemas.openxmlformats.org/officeDocument/2006/relationships/hyperlink" Target="https://www.lcsc.com/product-detail/Chip-Resistor-Surface-Mount_YAGEO-RC0402FR-074K7L_C105871.html" TargetMode="External"/><Relationship Id="rId201" Type="http://schemas.openxmlformats.org/officeDocument/2006/relationships/hyperlink" Target="https://vi.aliexpress.com/item/1005005658283146.html?gatewayAdapt=glo2vnm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Microcontrollers-MCU-MPU-SOC_Rockchip-RV1126_C2859017.html" TargetMode="External"/><Relationship Id="rId187" Type="http://schemas.openxmlformats.org/officeDocument/2006/relationships/hyperlink" Target="https://www.lcsc.com/product-detail/USB-Connectors_Amphenol-ICC-10118194-0001LF_C132563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603KRX5R6BB106_C326057.html" TargetMode="External"/><Relationship Id="rId177" Type="http://schemas.openxmlformats.org/officeDocument/2006/relationships/hyperlink" Target="https://www.lcsc.com/product-detail/Power-Distribution-Switches_Silergy-Corp-SY6280AAC_C55136.html" TargetMode="External"/><Relationship Id="rId198" Type="http://schemas.openxmlformats.org/officeDocument/2006/relationships/hyperlink" Target="https://www.lcsc.com/product-detail/Chip-Resistor-Surface-Mount_YAGEO-RC0402FR-07100KL_C60491.html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Brushed-DC-Motor-Drivers_MSKSEMI-BA6208-MS_C20627211.html" TargetMode="External"/><Relationship Id="rId188" Type="http://schemas.openxmlformats.org/officeDocument/2006/relationships/hyperlink" Target="https://www.lcsc.com/product-detail/Pin-Headers_XKB-Connection-X6511WV-03H-C60D30_C706875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FFC-FPC-Flat-Flexible-Connector-Assemblies_HRS-Hirose-FH12-24S-0-5SH-55_C202112.html" TargetMode="External"/><Relationship Id="rId170" Type="http://schemas.openxmlformats.org/officeDocument/2006/relationships/hyperlink" Target="https://www.lcsc.com/product-detail/Schottky-Diodes_Diodes-Incorporated-1N5819HW-7-F_C82544.html" TargetMode="External"/><Relationship Id="rId191" Type="http://schemas.openxmlformats.org/officeDocument/2006/relationships/hyperlink" Target="https://www.lcsc.com/product-detail/Chip-Resistor-Surface-Mount_YAGEO-RC0402FR-07100RL_C106232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6B-PH-SM4-TB-LF-SN_C265405.html" TargetMode="External"/><Relationship Id="rId181" Type="http://schemas.openxmlformats.org/officeDocument/2006/relationships/hyperlink" Target="https://www.lcsc.com/product-detail/Multilayer-Ceramic-Capacitors-MLCC-SMD-SMT_Murata-Electronics-GRM31CR61E476ME44L_C403725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FFC-FPC-Flat-Flexible-Connector-Assemblies_HRS-Hirose-TF31-30S-0-5SH-800_C5137133.html" TargetMode="External"/><Relationship Id="rId192" Type="http://schemas.openxmlformats.org/officeDocument/2006/relationships/hyperlink" Target="https://www.lcsc.com/product-detail/Chip-Resistor-Surface-Mount_YAGEO-RC0402FR-0710KL_C60490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Wire-To-Board-Connector_JST-S4B-PH-SM4-TB-LF-SN_C265102.html" TargetMode="External"/><Relationship Id="rId182" Type="http://schemas.openxmlformats.org/officeDocument/2006/relationships/hyperlink" Target="https://www.lcsc.com/product-detail/ESD-and-Surge-Protection-TVS-ESD_WILLSEMI-Will-Semicon-ESD5302F-3-TR_C239643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0RL_C106231.html" TargetMode="External"/><Relationship Id="rId193" Type="http://schemas.openxmlformats.org/officeDocument/2006/relationships/hyperlink" Target="https://www.lcsc.com/product-detail/Chip-Resistor-Surface-Mount_Vishay-Intertech-CRCW04021K00FKEDHP_C31335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Vishay-Intertech-RCS04020000Z0ED_C844673.html" TargetMode="External"/><Relationship Id="rId183" Type="http://schemas.openxmlformats.org/officeDocument/2006/relationships/hyperlink" Target="https://www.lcsc.com/product-detail/ESD-and-Surge-Protection-TVS-ESD_TECH-PUBLIC-ESD5471X_C3011180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Multilayer-Ceramic-Capacitors-MLCC-SMD-SMT_YAGEO-CC0402KRX5R7BB104_C106204.html" TargetMode="External"/><Relationship Id="rId178" Type="http://schemas.openxmlformats.org/officeDocument/2006/relationships/hyperlink" Target="https://www.lcsc.com/product-detail/Multilayer-Ceramic-Capacitors-MLCC-SMD-SMT_Samsung-Electro-Mechanics-CL10A226MP8NUNE_C86295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6K8L_C93940.html" TargetMode="External"/><Relationship Id="rId194" Type="http://schemas.openxmlformats.org/officeDocument/2006/relationships/hyperlink" Target="https://www.lcsc.com/product-detail/Chip-Resistor-Surface-Mount_YAGEO-RC0402FR-07200RL_C114764.html" TargetMode="External"/><Relationship Id="rId199" Type="http://schemas.openxmlformats.org/officeDocument/2006/relationships/hyperlink" Target="https://www.lcsc.com/product-detail/Microcontrollers-MCU-MPU-SOC_Rockchip-RV1126_C2859017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402KRX5R6BB105_C106254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51KL_C107229.html" TargetMode="External"/><Relationship Id="rId184" Type="http://schemas.openxmlformats.org/officeDocument/2006/relationships/hyperlink" Target="https://www.lcsc.com/product-detail/ESD-and-Surge-Protection-TVS-ESD_TECH-PUBLIC-ESD5451N_C2936977.html" TargetMode="External"/><Relationship Id="rId189" Type="http://schemas.openxmlformats.org/officeDocument/2006/relationships/hyperlink" Target="https://www.lcsc.com/product-detail/Bipolar-BJT_YONGYUTAI-MMBT3906_C2891809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ESD-and-Surge-Protection-TVS-ESD_TECH-PUBLIC-ESD5451N_C2936977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KL_C60490.html" TargetMode="External"/><Relationship Id="rId179" Type="http://schemas.openxmlformats.org/officeDocument/2006/relationships/hyperlink" Target="https://www.lcsc.com/product-detail/Multilayer-Ceramic-Capacitors-MLCC-SMD-SMT_YAGEO-CC0201KRX5R6BB104_C190183.html" TargetMode="External"/><Relationship Id="rId195" Type="http://schemas.openxmlformats.org/officeDocument/2006/relationships/hyperlink" Target="https://www.lcsc.com/product-detail/Chip-Resistor-Surface-Mount_YAGEO-RC0402FR-072K2L_C114762.html" TargetMode="External"/><Relationship Id="rId190" Type="http://schemas.openxmlformats.org/officeDocument/2006/relationships/hyperlink" Target="https://www.lcsc.com/product-detail/Chip-Resistor-Surface-Mount_YAGEO-RC0402FR-0718KL_C138044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0RL_C106231.html" TargetMode="External"/><Relationship Id="rId169" Type="http://schemas.openxmlformats.org/officeDocument/2006/relationships/hyperlink" Target="https://www.lcsc.com/product-detail/Multilayer-Ceramic-Capacitors-MLCC-SMD-SMT_YAGEO-CC0201KRX5R6BB104_C190183.html" TargetMode="External"/><Relationship Id="rId185" Type="http://schemas.openxmlformats.org/officeDocument/2006/relationships/hyperlink" Target="https://www.lcsc.com/product-detail/Schottky-Diodes_Diodes-Incorporated-1N5819HW-7-F_C82544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YAGEO-CC0402KRX5R6BB105_C106254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digikey.com/en/products/detail/texas-instruments/TPS23881B1RTQR/24420995?s=N4IgTCBcDaICoAUDKYDMAOdBGAQlgSnAIr4gC6AvkA" TargetMode="External"/><Relationship Id="rId175" Type="http://schemas.openxmlformats.org/officeDocument/2006/relationships/hyperlink" Target="https://www.lcsc.com/product-detail/Chip-Resistor-Surface-Mount_YAGEO-RC0402FR-07100KL_C60491.html" TargetMode="External"/><Relationship Id="rId196" Type="http://schemas.openxmlformats.org/officeDocument/2006/relationships/hyperlink" Target="https://www.lcsc.com/product-detail/Chip-Resistor-Surface-Mount_Vishay-Intertech-CRCW0603220RFKEA_C844757.html" TargetMode="External"/><Relationship Id="rId200" Type="http://schemas.openxmlformats.org/officeDocument/2006/relationships/hyperlink" Target="https://www.lcsc.com/product-detail/Power-Distribution-Switches_Silergy-Corp-SY6280AAC_C55136.html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Chip-Resistor-Surface-Mount_YAGEO-RC0402FR-072K2L_C114762.html" TargetMode="External"/><Relationship Id="rId186" Type="http://schemas.openxmlformats.org/officeDocument/2006/relationships/hyperlink" Target="https://www.lcsc.com/product-detail/Wire-To-Board-Connector_HCTL-XH-4A-L_C2979569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201KRX5R6BB104_C190183.html" TargetMode="External"/><Relationship Id="rId176" Type="http://schemas.openxmlformats.org/officeDocument/2006/relationships/hyperlink" Target="https://www.lcsc.com/product-detail/Microcontrollers-MCU-MPU-SOC_Rockchip-RV1126_C2859017.html" TargetMode="External"/><Relationship Id="rId197" Type="http://schemas.openxmlformats.org/officeDocument/2006/relationships/hyperlink" Target="https://www.lcsc.com/product-detail/Chip-Resistor-Surface-Mount_YAGEO-RC0402FR-074K7L_C105871.html" TargetMode="External"/><Relationship Id="rId201" Type="http://schemas.openxmlformats.org/officeDocument/2006/relationships/hyperlink" Target="https://vi.aliexpress.com/item/1005005658283146.html?gatewayAdapt=glo2vnm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Microcontrollers-MCU-MPU-SOC_Rockchip-RV1126_C2859017.html" TargetMode="External"/><Relationship Id="rId187" Type="http://schemas.openxmlformats.org/officeDocument/2006/relationships/hyperlink" Target="https://www.lcsc.com/product-detail/USB-Connectors_Amphenol-ICC-10118194-0001LF_C132563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603KRX5R6BB106_C326057.html" TargetMode="External"/><Relationship Id="rId177" Type="http://schemas.openxmlformats.org/officeDocument/2006/relationships/hyperlink" Target="https://www.lcsc.com/product-detail/Power-Distribution-Switches_Silergy-Corp-SY6280AAC_C55136.html" TargetMode="External"/><Relationship Id="rId198" Type="http://schemas.openxmlformats.org/officeDocument/2006/relationships/hyperlink" Target="https://www.lcsc.com/product-detail/Chip-Resistor-Surface-Mount_YAGEO-RC0402FR-07100KL_C60491.html" TargetMode="External"/><Relationship Id="rId202" Type="http://schemas.openxmlformats.org/officeDocument/2006/relationships/printerSettings" Target="../printerSettings/printerSettings2.bin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Brushed-DC-Motor-Drivers_MSKSEMI-BA6208-MS_C20627211.html" TargetMode="External"/><Relationship Id="rId188" Type="http://schemas.openxmlformats.org/officeDocument/2006/relationships/hyperlink" Target="https://www.lcsc.com/product-detail/Pin-Headers_XKB-Connection-X6511WV-03H-C60D30_C706875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Wire-To-Board-Connector_JST-S6B-PH-SM4-TB-LF-SN_C265405.html" TargetMode="External"/><Relationship Id="rId170" Type="http://schemas.openxmlformats.org/officeDocument/2006/relationships/hyperlink" Target="https://www.lcsc.com/product-detail/FFC-FPC-Flat-Flexible-Connector-Assemblies_HRS-Hirose-TF31-30S-0-5SH-800_C5137133.html" TargetMode="External"/><Relationship Id="rId191" Type="http://schemas.openxmlformats.org/officeDocument/2006/relationships/hyperlink" Target="https://www.lcsc.com/product-detail/Chip-Resistor-Surface-Mount_YAGEO-RC0402FR-0710KL_C60490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4B-PH-SM4-TB-LF-SN_C265102.html" TargetMode="External"/><Relationship Id="rId181" Type="http://schemas.openxmlformats.org/officeDocument/2006/relationships/hyperlink" Target="https://www.lcsc.com/product-detail/ESD-and-Surge-Protection-TVS-ESD_WILLSEMI-Will-Semicon-ESD5302F-3-TR_C239643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Chip-Resistor-Surface-Mount_YAGEO-RC0402FR-070RL_C106231.html" TargetMode="External"/><Relationship Id="rId192" Type="http://schemas.openxmlformats.org/officeDocument/2006/relationships/hyperlink" Target="https://www.lcsc.com/product-detail/Chip-Resistor-Surface-Mount_Vishay-Intertech-CRCW04021K00FKEDHP_C313354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Chip-Resistor-Surface-Mount_Vishay-Intertech-RCS04020000Z0ED_C844673.html" TargetMode="External"/><Relationship Id="rId182" Type="http://schemas.openxmlformats.org/officeDocument/2006/relationships/hyperlink" Target="https://www.lcsc.com/product-detail/ESD-and-Surge-Protection-TVS-ESD_TECH-PUBLIC-ESD5471X_C3011180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6K8L_C93940.html" TargetMode="External"/><Relationship Id="rId193" Type="http://schemas.openxmlformats.org/officeDocument/2006/relationships/hyperlink" Target="https://www.lcsc.com/product-detail/Chip-Resistor-Surface-Mount_YAGEO-RC0402FR-07200RL_C11476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YAGEO-RC0402FR-0751KL_C107229.html" TargetMode="External"/><Relationship Id="rId183" Type="http://schemas.openxmlformats.org/officeDocument/2006/relationships/hyperlink" Target="https://www.lcsc.com/product-detail/ESD-and-Surge-Protection-TVS-ESD_TECH-PUBLIC-ESD5451N_C2936977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ESD-and-Surge-Protection-TVS-ESD_TECH-PUBLIC-ESD5451N_C2936977.html" TargetMode="External"/><Relationship Id="rId178" Type="http://schemas.openxmlformats.org/officeDocument/2006/relationships/hyperlink" Target="https://www.lcsc.com/product-detail/Multilayer-Ceramic-Capacitors-MLCC-SMD-SMT_YAGEO-CC0201KRX5R6BB104_C190183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10KL_C60490.html" TargetMode="External"/><Relationship Id="rId194" Type="http://schemas.openxmlformats.org/officeDocument/2006/relationships/hyperlink" Target="https://www.lcsc.com/product-detail/Chip-Resistor-Surface-Mount_YAGEO-RC0402FR-072K2L_C114762.html" TargetMode="External"/><Relationship Id="rId199" Type="http://schemas.openxmlformats.org/officeDocument/2006/relationships/hyperlink" Target="https://www.lcsc.com/product-detail/Power-Distribution-Switches_Silergy-Corp-SY6280AAC_C55136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201KRX5R6BB104_C190183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0RL_C106231.html" TargetMode="External"/><Relationship Id="rId184" Type="http://schemas.openxmlformats.org/officeDocument/2006/relationships/hyperlink" Target="https://www.lcsc.com/product-detail/Schottky-Diodes_Diodes-Incorporated-1N5819HW-7-F_C82544.html" TargetMode="External"/><Relationship Id="rId189" Type="http://schemas.openxmlformats.org/officeDocument/2006/relationships/hyperlink" Target="https://www.lcsc.com/product-detail/Chip-Resistor-Surface-Mount_YAGEO-RC0402FR-0718KL_C138044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FFC-FPC-Flat-Flexible-Connector-Assemblies_HRS-Hirose-FH12-24S-0-5SH-55_C202112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0KL_C60491.html" TargetMode="External"/><Relationship Id="rId179" Type="http://schemas.openxmlformats.org/officeDocument/2006/relationships/hyperlink" Target="https://www.lcsc.com/product-detail/Multilayer-Ceramic-Capacitors-MLCC-SMD-SMT_YAGEO-CC0402KRX5R6BB105_C106254.html" TargetMode="External"/><Relationship Id="rId195" Type="http://schemas.openxmlformats.org/officeDocument/2006/relationships/hyperlink" Target="https://www.lcsc.com/product-detail/Chip-Resistor-Surface-Mount_Vishay-Intertech-CRCW0603220RFKEA_C844757.html" TargetMode="External"/><Relationship Id="rId190" Type="http://schemas.openxmlformats.org/officeDocument/2006/relationships/hyperlink" Target="https://www.lcsc.com/product-detail/Chip-Resistor-Surface-Mount_YAGEO-RC0402FR-07100RL_C106232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2K2L_C114762.html" TargetMode="External"/><Relationship Id="rId169" Type="http://schemas.openxmlformats.org/officeDocument/2006/relationships/hyperlink" Target="https://www.lcsc.com/product-detail/Schottky-Diodes_Diodes-Incorporated-1N5819HW-7-F_C82544.html" TargetMode="External"/><Relationship Id="rId185" Type="http://schemas.openxmlformats.org/officeDocument/2006/relationships/hyperlink" Target="https://www.lcsc.com/product-detail/Wire-To-Board-Connector_HCTL-XH-4A-L_C2979569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Murata-Electronics-GRM31CR61E476ME44L_C403725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lcsc.com/product-detail/Multilayer-Ceramic-Capacitors-MLCC-SMD-SMT_YAGEO-CC0201KRX5R6BB104_C190183.html" TargetMode="External"/><Relationship Id="rId175" Type="http://schemas.openxmlformats.org/officeDocument/2006/relationships/hyperlink" Target="https://www.lcsc.com/product-detail/Microcontrollers-MCU-MPU-SOC_Rockchip-RV1126_C2859017.html" TargetMode="External"/><Relationship Id="rId196" Type="http://schemas.openxmlformats.org/officeDocument/2006/relationships/hyperlink" Target="https://www.lcsc.com/product-detail/Chip-Resistor-Surface-Mount_YAGEO-RC0402FR-074K7L_C105871.html" TargetMode="External"/><Relationship Id="rId200" Type="http://schemas.openxmlformats.org/officeDocument/2006/relationships/hyperlink" Target="https://vi.aliexpress.com/item/1005005658283146.html?gatewayAdapt=glo2vnm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Microcontrollers-MCU-MPU-SOC_Rockchip-RV1126_C2859017.html" TargetMode="External"/><Relationship Id="rId186" Type="http://schemas.openxmlformats.org/officeDocument/2006/relationships/hyperlink" Target="https://www.lcsc.com/product-detail/USB-Connectors_Amphenol-ICC-10118194-0001LF_C132563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603KRX5R6BB106_C326057.html" TargetMode="External"/><Relationship Id="rId176" Type="http://schemas.openxmlformats.org/officeDocument/2006/relationships/hyperlink" Target="https://www.lcsc.com/product-detail/Power-Distribution-Switches_Silergy-Corp-SY6280AAC_C55136.html" TargetMode="External"/><Relationship Id="rId197" Type="http://schemas.openxmlformats.org/officeDocument/2006/relationships/hyperlink" Target="https://www.lcsc.com/product-detail/Chip-Resistor-Surface-Mount_YAGEO-RC0402FR-07100KL_C60491.html" TargetMode="External"/><Relationship Id="rId201" Type="http://schemas.openxmlformats.org/officeDocument/2006/relationships/hyperlink" Target="https://www.digikey.com/en/products/detail/texas-instruments/TPS23881B1RTQR/24420995?s=N4IgTCBcDaICoAUDKYDMAOdBGAQlgSnAIr4gC6AvkA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Brushed-DC-Motor-Drivers_MSKSEMI-BA6208-MS_C20627211.html" TargetMode="External"/><Relationship Id="rId187" Type="http://schemas.openxmlformats.org/officeDocument/2006/relationships/hyperlink" Target="https://www.lcsc.com/product-detail/Pin-Headers_XKB-Connection-X6511WV-03H-C60D30_C706875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402KRX5R7BB104_C106204.html" TargetMode="External"/><Relationship Id="rId177" Type="http://schemas.openxmlformats.org/officeDocument/2006/relationships/hyperlink" Target="https://www.lcsc.com/product-detail/Multilayer-Ceramic-Capacitors-MLCC-SMD-SMT_Samsung-Electro-Mechanics-CL10A226MP8NUNE_C86295.html" TargetMode="External"/><Relationship Id="rId198" Type="http://schemas.openxmlformats.org/officeDocument/2006/relationships/hyperlink" Target="https://www.lcsc.com/product-detail/Microcontrollers-MCU-MPU-SOC_Rockchip-RV1126_C2859017.html" TargetMode="External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Multilayer-Ceramic-Capacitors-MLCC-SMD-SMT_YAGEO-CC0402KRX5R6BB105_C106254.html" TargetMode="External"/><Relationship Id="rId188" Type="http://schemas.openxmlformats.org/officeDocument/2006/relationships/hyperlink" Target="https://www.lcsc.com/product-detail/Bipolar-BJT_YONGYUTAI-MMBT3906_C2891809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61"/>
  <sheetViews>
    <sheetView workbookViewId="0">
      <selection activeCell="G13" sqref="G13"/>
    </sheetView>
  </sheetViews>
  <sheetFormatPr defaultRowHeight="15" x14ac:dyDescent="0.25"/>
  <cols>
    <col min="2" max="2" width="3" style="3" bestFit="1" customWidth="1"/>
    <col min="3" max="3" width="17.5703125" style="3" bestFit="1" customWidth="1"/>
    <col min="4" max="4" width="27.42578125" customWidth="1"/>
    <col min="5" max="5" width="30.85546875" customWidth="1"/>
    <col min="6" max="6" width="18.42578125" bestFit="1" customWidth="1"/>
    <col min="7" max="7" width="25.28515625" bestFit="1" customWidth="1"/>
    <col min="8" max="8" width="20.710937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0.285156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27" t="s">
        <v>486</v>
      </c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461</v>
      </c>
      <c r="N4" s="4" t="s">
        <v>462</v>
      </c>
      <c r="O4" s="4" t="s">
        <v>463</v>
      </c>
      <c r="P4" s="4" t="s">
        <v>464</v>
      </c>
      <c r="Q4" s="4" t="s">
        <v>465</v>
      </c>
      <c r="R4" s="4" t="s">
        <v>466</v>
      </c>
    </row>
    <row r="5" spans="1:18" ht="48" x14ac:dyDescent="0.25">
      <c r="A5" s="1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L5*5</f>
        <v>115</v>
      </c>
      <c r="N5" s="5">
        <v>120</v>
      </c>
      <c r="O5" s="15" t="s">
        <v>467</v>
      </c>
      <c r="P5" s="6">
        <v>2.7099999999999999E-2</v>
      </c>
      <c r="Q5" s="6">
        <f>P5*N5</f>
        <v>3.2519999999999998</v>
      </c>
      <c r="R5" s="5"/>
    </row>
    <row r="6" spans="1:18" ht="24" x14ac:dyDescent="0.25">
      <c r="A6" s="1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11">
        <f t="shared" ref="M6" si="1">L6*5</f>
        <v>50</v>
      </c>
      <c r="N6" s="11">
        <v>100</v>
      </c>
      <c r="O6" s="16" t="s">
        <v>467</v>
      </c>
      <c r="P6" s="12">
        <v>1.9300000000000001E-2</v>
      </c>
      <c r="Q6" s="12">
        <f t="shared" ref="Q6" si="2">P6*N6</f>
        <v>1.9300000000000002</v>
      </c>
      <c r="R6" s="11"/>
    </row>
    <row r="7" spans="1:18" ht="60" x14ac:dyDescent="0.25">
      <c r="A7" s="1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>L7*5</f>
        <v>150</v>
      </c>
      <c r="N7" s="5">
        <v>100</v>
      </c>
      <c r="O7" s="16" t="s">
        <v>467</v>
      </c>
      <c r="P7" s="6">
        <v>2.5999999999999999E-3</v>
      </c>
      <c r="Q7" s="6">
        <f>P7*N7</f>
        <v>0.26</v>
      </c>
      <c r="R7" s="5"/>
    </row>
    <row r="8" spans="1:18" x14ac:dyDescent="0.25">
      <c r="A8" s="1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11">
        <f t="shared" ref="M8" si="3">L8*5</f>
        <v>5</v>
      </c>
      <c r="N8" s="11">
        <v>50</v>
      </c>
      <c r="O8" s="16" t="s">
        <v>467</v>
      </c>
      <c r="P8" s="12">
        <v>1.0800000000000001E-2</v>
      </c>
      <c r="Q8" s="12">
        <f t="shared" ref="Q8" si="4">P8*N8</f>
        <v>0.54</v>
      </c>
      <c r="R8" s="11"/>
    </row>
    <row r="9" spans="1:18" ht="36" x14ac:dyDescent="0.25">
      <c r="A9" s="1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>L9*5</f>
        <v>105</v>
      </c>
      <c r="N9" s="5">
        <v>200</v>
      </c>
      <c r="O9" s="16" t="s">
        <v>467</v>
      </c>
      <c r="P9" s="6">
        <v>1.1000000000000001E-3</v>
      </c>
      <c r="Q9" s="6">
        <f>P9*N9</f>
        <v>0.22</v>
      </c>
      <c r="R9" s="5"/>
    </row>
    <row r="10" spans="1:18" x14ac:dyDescent="0.25">
      <c r="A10" s="1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11">
        <f t="shared" ref="M10" si="5">L10*5</f>
        <v>10</v>
      </c>
      <c r="N10" s="11">
        <v>100</v>
      </c>
      <c r="O10" s="16" t="s">
        <v>467</v>
      </c>
      <c r="P10" s="12">
        <v>1E-3</v>
      </c>
      <c r="Q10" s="12">
        <f t="shared" ref="Q10" si="6">P10*N10</f>
        <v>0.1</v>
      </c>
      <c r="R10" s="11"/>
    </row>
    <row r="11" spans="1:18" x14ac:dyDescent="0.25">
      <c r="A11" s="1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>L11*5</f>
        <v>15</v>
      </c>
      <c r="N11" s="5">
        <v>20</v>
      </c>
      <c r="O11" s="16" t="s">
        <v>467</v>
      </c>
      <c r="P11" s="6">
        <v>2.8500000000000001E-2</v>
      </c>
      <c r="Q11" s="6">
        <f>P11*N11</f>
        <v>0.57000000000000006</v>
      </c>
      <c r="R11" s="5"/>
    </row>
    <row r="12" spans="1:18" x14ac:dyDescent="0.25">
      <c r="A12" s="1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11">
        <f t="shared" ref="M12" si="7">L12*5</f>
        <v>20</v>
      </c>
      <c r="N12" s="11">
        <v>50</v>
      </c>
      <c r="O12" s="16" t="s">
        <v>467</v>
      </c>
      <c r="P12" s="12">
        <v>1.0800000000000001E-2</v>
      </c>
      <c r="Q12" s="12">
        <f t="shared" ref="Q12" si="8">P12*N12</f>
        <v>0.54</v>
      </c>
      <c r="R12" s="11"/>
    </row>
    <row r="13" spans="1:18" ht="96" x14ac:dyDescent="0.25">
      <c r="A13" s="1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>L13*5</f>
        <v>225</v>
      </c>
      <c r="N13" s="5">
        <v>300</v>
      </c>
      <c r="O13" s="16" t="s">
        <v>467</v>
      </c>
      <c r="P13" s="6">
        <v>1.1000000000000001E-3</v>
      </c>
      <c r="Q13" s="6">
        <f>P13*N13</f>
        <v>0.33</v>
      </c>
      <c r="R13" s="5"/>
    </row>
    <row r="14" spans="1:18" x14ac:dyDescent="0.25">
      <c r="A14" s="1"/>
      <c r="B14" s="8">
        <f t="shared" si="0"/>
        <v>10</v>
      </c>
      <c r="C14" s="13" t="s">
        <v>4</v>
      </c>
      <c r="D14" s="17" t="s">
        <v>26</v>
      </c>
      <c r="E14" s="17" t="s">
        <v>116</v>
      </c>
      <c r="F14" s="17" t="s">
        <v>192</v>
      </c>
      <c r="G14" s="17" t="s">
        <v>230</v>
      </c>
      <c r="H14" s="17" t="s">
        <v>299</v>
      </c>
      <c r="I14" s="18" t="s">
        <v>479</v>
      </c>
      <c r="J14" s="17" t="s">
        <v>337</v>
      </c>
      <c r="K14" s="17" t="s">
        <v>413</v>
      </c>
      <c r="L14" s="17">
        <v>1</v>
      </c>
      <c r="M14" s="17">
        <f t="shared" ref="M14" si="9">L14*5</f>
        <v>5</v>
      </c>
      <c r="N14" s="17" t="s">
        <v>468</v>
      </c>
      <c r="O14" s="17" t="s">
        <v>468</v>
      </c>
      <c r="P14" s="19" t="s">
        <v>468</v>
      </c>
      <c r="Q14" s="19" t="s">
        <v>468</v>
      </c>
      <c r="R14" s="20" t="s">
        <v>471</v>
      </c>
    </row>
    <row r="15" spans="1:18" ht="24" x14ac:dyDescent="0.25">
      <c r="A15" s="1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>L15*5</f>
        <v>40</v>
      </c>
      <c r="N15" s="5">
        <v>100</v>
      </c>
      <c r="O15" s="16" t="s">
        <v>467</v>
      </c>
      <c r="P15" s="6">
        <v>4.7999999999999996E-3</v>
      </c>
      <c r="Q15" s="6">
        <f>P15*N15</f>
        <v>0.48</v>
      </c>
      <c r="R15" s="5"/>
    </row>
    <row r="16" spans="1:18" x14ac:dyDescent="0.25">
      <c r="A16" s="1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17">
        <f t="shared" ref="M16" si="10">L16*5</f>
        <v>5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x14ac:dyDescent="0.25">
      <c r="A17" s="1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>L17*5</f>
        <v>5</v>
      </c>
      <c r="N17" s="5">
        <v>50</v>
      </c>
      <c r="O17" s="16" t="s">
        <v>467</v>
      </c>
      <c r="P17" s="6">
        <v>1.7100000000000001E-2</v>
      </c>
      <c r="Q17" s="6">
        <f>P17*N17</f>
        <v>0.85499999999999998</v>
      </c>
      <c r="R17" s="5"/>
    </row>
    <row r="18" spans="1:18" x14ac:dyDescent="0.25">
      <c r="A18" s="1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11">
        <f t="shared" ref="M18" si="11">L18*5</f>
        <v>5</v>
      </c>
      <c r="N18" s="11">
        <v>100</v>
      </c>
      <c r="O18" s="16" t="s">
        <v>467</v>
      </c>
      <c r="P18" s="12">
        <v>1.6000000000000001E-3</v>
      </c>
      <c r="Q18" s="12">
        <f t="shared" ref="Q18" si="12">P18*N18</f>
        <v>0.16</v>
      </c>
      <c r="R18" s="11"/>
    </row>
    <row r="19" spans="1:18" x14ac:dyDescent="0.25">
      <c r="A19" s="1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>L19*5</f>
        <v>10</v>
      </c>
      <c r="N19" s="5">
        <v>100</v>
      </c>
      <c r="O19" s="16" t="s">
        <v>467</v>
      </c>
      <c r="P19" s="6">
        <v>1.1000000000000001E-3</v>
      </c>
      <c r="Q19" s="6">
        <f>P19*N19</f>
        <v>0.11</v>
      </c>
      <c r="R19" s="5"/>
    </row>
    <row r="20" spans="1:18" x14ac:dyDescent="0.25">
      <c r="A20" s="1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11">
        <f t="shared" ref="M20" si="13">L20*5</f>
        <v>5</v>
      </c>
      <c r="N20" s="5">
        <v>100</v>
      </c>
      <c r="O20" s="16" t="s">
        <v>467</v>
      </c>
      <c r="P20" s="6">
        <v>1E-3</v>
      </c>
      <c r="Q20" s="12">
        <f t="shared" ref="Q20" si="14">P20*N20</f>
        <v>0.1</v>
      </c>
      <c 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>L21*5</f>
        <v>10</v>
      </c>
      <c r="N21" s="5">
        <v>100</v>
      </c>
      <c r="O21" s="16" t="s">
        <v>467</v>
      </c>
      <c r="P21" s="6">
        <v>1E-3</v>
      </c>
      <c r="Q21" s="6">
        <f>P21*N21</f>
        <v>0.1</v>
      </c>
      <c r="R21" s="5"/>
    </row>
    <row r="22" spans="1:18" x14ac:dyDescent="0.25">
      <c r="A22" s="1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11">
        <f t="shared" ref="M22" si="15">L22*5</f>
        <v>5</v>
      </c>
      <c r="N22" s="11">
        <v>100</v>
      </c>
      <c r="O22" s="16" t="s">
        <v>467</v>
      </c>
      <c r="P22" s="12">
        <v>1.01E-2</v>
      </c>
      <c r="Q22" s="12">
        <f t="shared" ref="Q22" si="16">P22*N22</f>
        <v>1.01</v>
      </c>
      <c r="R22" s="11"/>
    </row>
    <row r="23" spans="1:18" x14ac:dyDescent="0.25">
      <c r="A23" s="1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17">
        <f>L23*5</f>
        <v>15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x14ac:dyDescent="0.25">
      <c r="A24" s="1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11">
        <f t="shared" ref="M24" si="17">L24*5</f>
        <v>10</v>
      </c>
      <c r="N24" s="11">
        <v>15</v>
      </c>
      <c r="O24" s="16" t="s">
        <v>467</v>
      </c>
      <c r="P24" s="12">
        <v>0.17419999999999999</v>
      </c>
      <c r="Q24" s="12">
        <f t="shared" ref="Q24" si="18">P24*N24</f>
        <v>2.613</v>
      </c>
      <c r="R24" s="11"/>
    </row>
    <row r="25" spans="1:18" x14ac:dyDescent="0.25">
      <c r="A25" s="1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>L25*5</f>
        <v>10</v>
      </c>
      <c r="N25" s="5">
        <v>100</v>
      </c>
      <c r="O25" s="16" t="s">
        <v>467</v>
      </c>
      <c r="P25" s="6">
        <v>4.8999999999999998E-3</v>
      </c>
      <c r="Q25" s="6">
        <f>P25*N25</f>
        <v>0.49</v>
      </c>
      <c r="R25" s="5"/>
    </row>
    <row r="26" spans="1:18" x14ac:dyDescent="0.25">
      <c r="A26" s="1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11">
        <f t="shared" ref="M26" si="19">L26*5</f>
        <v>10</v>
      </c>
      <c r="N26" s="5">
        <v>20</v>
      </c>
      <c r="O26" s="16" t="s">
        <v>467</v>
      </c>
      <c r="P26" s="6">
        <v>4.2599999999999999E-2</v>
      </c>
      <c r="Q26" s="12">
        <f t="shared" ref="Q26" si="20">P26*N26</f>
        <v>0.85199999999999998</v>
      </c>
      <c r="R26" s="11"/>
    </row>
    <row r="27" spans="1:18" x14ac:dyDescent="0.25">
      <c r="A27" s="1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>L27*5</f>
        <v>5</v>
      </c>
      <c r="N27" s="11">
        <v>100</v>
      </c>
      <c r="O27" s="16" t="s">
        <v>467</v>
      </c>
      <c r="P27" s="12">
        <v>2.5000000000000001E-3</v>
      </c>
      <c r="Q27" s="6">
        <f>P27*N27</f>
        <v>0.25</v>
      </c>
      <c r="R27" s="5"/>
    </row>
    <row r="28" spans="1:18" x14ac:dyDescent="0.25">
      <c r="A28" s="1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11">
        <f t="shared" ref="M28" si="21">L28*5</f>
        <v>5</v>
      </c>
      <c r="N28" s="5">
        <v>100</v>
      </c>
      <c r="O28" s="16" t="s">
        <v>467</v>
      </c>
      <c r="P28" s="6">
        <v>1.1000000000000001E-3</v>
      </c>
      <c r="Q28" s="12">
        <f t="shared" ref="Q28" si="22">P28*N28</f>
        <v>0.11</v>
      </c>
      <c r="R28" s="11"/>
    </row>
    <row r="29" spans="1:18" x14ac:dyDescent="0.25">
      <c r="A29" s="1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>L29*5</f>
        <v>5</v>
      </c>
      <c r="N29" s="11">
        <v>100</v>
      </c>
      <c r="O29" s="16" t="s">
        <v>467</v>
      </c>
      <c r="P29" s="12">
        <v>4.4999999999999997E-3</v>
      </c>
      <c r="Q29" s="6">
        <f>P29*N29</f>
        <v>0.44999999999999996</v>
      </c>
      <c r="R29" s="5"/>
    </row>
    <row r="30" spans="1:18" x14ac:dyDescent="0.25">
      <c r="A30" s="1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11">
        <f t="shared" ref="M30" si="23">L30*5</f>
        <v>5</v>
      </c>
      <c r="N30" s="5">
        <v>10</v>
      </c>
      <c r="O30" s="16" t="s">
        <v>467</v>
      </c>
      <c r="P30" s="6">
        <v>3.6299999999999999E-2</v>
      </c>
      <c r="Q30" s="12">
        <f t="shared" ref="Q30" si="24">P30*N30</f>
        <v>0.36299999999999999</v>
      </c>
      <c r="R30" s="11"/>
    </row>
    <row r="31" spans="1:18" x14ac:dyDescent="0.25">
      <c r="A31" s="1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>L31*5</f>
        <v>5</v>
      </c>
      <c r="N31" s="11">
        <v>100</v>
      </c>
      <c r="O31" s="16" t="s">
        <v>467</v>
      </c>
      <c r="P31" s="12">
        <v>3.3E-3</v>
      </c>
      <c r="Q31" s="6">
        <f>P31*N31</f>
        <v>0.33</v>
      </c>
      <c r="R31" s="5"/>
    </row>
    <row r="32" spans="1:18" x14ac:dyDescent="0.25">
      <c r="A32" s="1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11">
        <f t="shared" ref="M32" si="25">L32*5</f>
        <v>10</v>
      </c>
      <c r="N32" s="5">
        <v>20</v>
      </c>
      <c r="O32" s="16" t="s">
        <v>467</v>
      </c>
      <c r="P32" s="6">
        <v>2.1100000000000001E-2</v>
      </c>
      <c r="Q32" s="12">
        <f t="shared" ref="Q32" si="26">P32*N32</f>
        <v>0.42200000000000004</v>
      </c>
      <c r="R32" s="11"/>
    </row>
    <row r="33" spans="1:18" ht="24" x14ac:dyDescent="0.25">
      <c r="A33" s="1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>L33*5</f>
        <v>15</v>
      </c>
      <c r="N33" s="11">
        <v>50</v>
      </c>
      <c r="O33" s="16" t="s">
        <v>467</v>
      </c>
      <c r="P33" s="12">
        <v>8.9999999999999993E-3</v>
      </c>
      <c r="Q33" s="6">
        <f>P33*N33</f>
        <v>0.44999999999999996</v>
      </c>
      <c r="R33" s="5"/>
    </row>
    <row r="34" spans="1:18" x14ac:dyDescent="0.25">
      <c r="A34" s="1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11">
        <f t="shared" ref="M34" si="27">L34*5</f>
        <v>5</v>
      </c>
      <c r="N34" s="11">
        <v>20</v>
      </c>
      <c r="O34" s="16" t="s">
        <v>467</v>
      </c>
      <c r="P34" s="12">
        <v>1.7299999999999999E-2</v>
      </c>
      <c r="Q34" s="12">
        <f t="shared" ref="Q34" si="28">P34*N34</f>
        <v>0.34599999999999997</v>
      </c>
      <c r="R34" s="11"/>
    </row>
    <row r="35" spans="1:18" x14ac:dyDescent="0.25">
      <c r="A35" s="1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>L35*5</f>
        <v>5</v>
      </c>
      <c r="N35" s="11">
        <v>6</v>
      </c>
      <c r="O35" s="16" t="s">
        <v>474</v>
      </c>
      <c r="P35" s="12">
        <v>0.12705</v>
      </c>
      <c r="Q35" s="6">
        <f>P35*N35</f>
        <v>0.76229999999999998</v>
      </c>
      <c r="R35" s="5"/>
    </row>
    <row r="36" spans="1:18" ht="24" x14ac:dyDescent="0.25">
      <c r="A36" s="1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11">
        <f t="shared" ref="M36" si="29">L36*5</f>
        <v>25</v>
      </c>
      <c r="N36" s="11">
        <v>30</v>
      </c>
      <c r="O36" s="16" t="s">
        <v>467</v>
      </c>
      <c r="P36" s="12">
        <v>8.2500000000000004E-2</v>
      </c>
      <c r="Q36" s="12">
        <f t="shared" ref="Q36" si="30">P36*N36</f>
        <v>2.4750000000000001</v>
      </c>
      <c r="R36" s="11"/>
    </row>
    <row r="37" spans="1:18" ht="36" x14ac:dyDescent="0.25">
      <c r="A37" s="1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>L37*5</f>
        <v>15</v>
      </c>
      <c r="N37" s="11">
        <v>20</v>
      </c>
      <c r="O37" s="16" t="s">
        <v>467</v>
      </c>
      <c r="P37" s="12">
        <v>0.19239999999999999</v>
      </c>
      <c r="Q37" s="6">
        <f>P37*N37</f>
        <v>3.8479999999999999</v>
      </c>
      <c r="R37" s="5"/>
    </row>
    <row r="38" spans="1:18" x14ac:dyDescent="0.25">
      <c r="A38" s="1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11">
        <f t="shared" ref="M38" si="31">L38*5</f>
        <v>5</v>
      </c>
      <c r="N38" s="5">
        <v>6</v>
      </c>
      <c r="O38" s="16" t="s">
        <v>467</v>
      </c>
      <c r="P38" s="6">
        <v>0.92190000000000005</v>
      </c>
      <c r="Q38" s="12">
        <f t="shared" ref="Q38" si="32">P38*N38</f>
        <v>5.5314000000000005</v>
      </c>
      <c r="R38" s="11"/>
    </row>
    <row r="39" spans="1:18" x14ac:dyDescent="0.25">
      <c r="A39" s="1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>L39*5</f>
        <v>5</v>
      </c>
      <c r="N39" s="5">
        <v>10</v>
      </c>
      <c r="O39" s="16" t="s">
        <v>467</v>
      </c>
      <c r="P39" s="6">
        <v>3.5999999999999997E-2</v>
      </c>
      <c r="Q39" s="6">
        <f>P39*N39</f>
        <v>0.36</v>
      </c>
      <c r="R39" s="5"/>
    </row>
    <row r="40" spans="1:18" x14ac:dyDescent="0.25">
      <c r="A40" s="1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11">
        <f t="shared" ref="M40" si="33">L40*5</f>
        <v>5</v>
      </c>
      <c r="N40" s="11">
        <v>10</v>
      </c>
      <c r="O40" s="16" t="s">
        <v>467</v>
      </c>
      <c r="P40" s="12">
        <v>3.85E-2</v>
      </c>
      <c r="Q40" s="12">
        <f t="shared" ref="Q40" si="34">P40*N40</f>
        <v>0.38500000000000001</v>
      </c>
      <c r="R40" s="11"/>
    </row>
    <row r="41" spans="1:18" x14ac:dyDescent="0.25">
      <c r="A41" s="1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>L41*5</f>
        <v>5</v>
      </c>
      <c r="N41" s="5">
        <v>6</v>
      </c>
      <c r="O41" s="16" t="s">
        <v>467</v>
      </c>
      <c r="P41" s="6">
        <v>0.54039999999999999</v>
      </c>
      <c r="Q41" s="6">
        <f>P41*N41</f>
        <v>3.2423999999999999</v>
      </c>
      <c r="R41" s="5"/>
    </row>
    <row r="42" spans="1:18" x14ac:dyDescent="0.25">
      <c r="A42" s="1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11">
        <f t="shared" ref="M42" si="35">L42*5</f>
        <v>5</v>
      </c>
      <c r="N42" s="11">
        <v>6</v>
      </c>
      <c r="O42" s="16" t="s">
        <v>467</v>
      </c>
      <c r="P42" s="12">
        <v>0.54669999999999996</v>
      </c>
      <c r="Q42" s="12">
        <f t="shared" ref="Q42" si="36">P42*N42</f>
        <v>3.2801999999999998</v>
      </c>
      <c r="R42" s="11"/>
    </row>
    <row r="43" spans="1:18" x14ac:dyDescent="0.25">
      <c r="A43" s="1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>L43*5</f>
        <v>20</v>
      </c>
      <c r="N43" s="5">
        <v>100</v>
      </c>
      <c r="O43" s="16" t="s">
        <v>467</v>
      </c>
      <c r="P43" s="6">
        <v>6.9999999999999999E-4</v>
      </c>
      <c r="Q43" s="6">
        <f>P43*N43</f>
        <v>6.9999999999999993E-2</v>
      </c>
      <c r="R43" s="5"/>
    </row>
    <row r="44" spans="1:18" x14ac:dyDescent="0.25">
      <c r="A44" s="1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11">
        <f t="shared" ref="M44" si="37">L44*5</f>
        <v>30</v>
      </c>
      <c r="N44" s="11">
        <v>100</v>
      </c>
      <c r="O44" s="16" t="s">
        <v>467</v>
      </c>
      <c r="P44" s="12">
        <v>5.9999999999999995E-4</v>
      </c>
      <c r="Q44" s="12">
        <f t="shared" ref="Q44" si="38">P44*N44</f>
        <v>0.06</v>
      </c>
      <c r="R44" s="11"/>
    </row>
    <row r="45" spans="1:18" x14ac:dyDescent="0.25">
      <c r="A45" s="1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>L45*5</f>
        <v>5</v>
      </c>
      <c r="N45" s="5">
        <v>50</v>
      </c>
      <c r="O45" s="16" t="s">
        <v>467</v>
      </c>
      <c r="P45" s="6">
        <v>2.01E-2</v>
      </c>
      <c r="Q45" s="6">
        <f>P45*N45</f>
        <v>1.0049999999999999</v>
      </c>
      <c r="R45" s="5"/>
    </row>
    <row r="46" spans="1:18" x14ac:dyDescent="0.25">
      <c r="A46" s="1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11">
        <f t="shared" ref="M46" si="39">L46*5</f>
        <v>5</v>
      </c>
      <c r="N46" s="11">
        <v>50</v>
      </c>
      <c r="O46" s="16" t="s">
        <v>467</v>
      </c>
      <c r="P46" s="12">
        <v>1.9900000000000001E-2</v>
      </c>
      <c r="Q46" s="12">
        <f t="shared" ref="Q46" si="40">P46*N46</f>
        <v>0.99500000000000011</v>
      </c>
      <c r="R46" s="11"/>
    </row>
    <row r="47" spans="1:18" x14ac:dyDescent="0.25">
      <c r="A47" s="1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>L47*5</f>
        <v>10</v>
      </c>
      <c r="N47" s="5">
        <v>100</v>
      </c>
      <c r="O47" s="16" t="s">
        <v>467</v>
      </c>
      <c r="P47" s="6">
        <v>5.9999999999999995E-4</v>
      </c>
      <c r="Q47" s="6">
        <f>P47*N47</f>
        <v>0.06</v>
      </c>
      <c r="R47" s="5"/>
    </row>
    <row r="48" spans="1:18" x14ac:dyDescent="0.25">
      <c r="A48" s="1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11">
        <f t="shared" ref="M48" si="41">L48*5</f>
        <v>5</v>
      </c>
      <c r="N48" s="11">
        <v>100</v>
      </c>
      <c r="O48" s="16" t="s">
        <v>467</v>
      </c>
      <c r="P48" s="12">
        <v>6.9999999999999999E-4</v>
      </c>
      <c r="Q48" s="12">
        <f t="shared" ref="Q48" si="42">P48*N48</f>
        <v>6.9999999999999993E-2</v>
      </c>
      <c r="R48" s="11"/>
    </row>
    <row r="49" spans="1:18" x14ac:dyDescent="0.25">
      <c r="A49" s="1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>L49*5</f>
        <v>30</v>
      </c>
      <c r="N49" s="5">
        <v>100</v>
      </c>
      <c r="O49" s="16" t="s">
        <v>467</v>
      </c>
      <c r="P49" s="6">
        <v>5.0000000000000001E-4</v>
      </c>
      <c r="Q49" s="6">
        <f>P49*N49</f>
        <v>0.05</v>
      </c>
      <c r="R49" s="5"/>
    </row>
    <row r="50" spans="1:18" ht="24" x14ac:dyDescent="0.25">
      <c r="A50" s="1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11">
        <f t="shared" ref="M50" si="43">L50*5</f>
        <v>40</v>
      </c>
      <c r="N50" s="11">
        <v>100</v>
      </c>
      <c r="O50" s="16" t="s">
        <v>467</v>
      </c>
      <c r="P50" s="12">
        <v>5.9999999999999995E-4</v>
      </c>
      <c r="Q50" s="12">
        <f t="shared" ref="Q50" si="44">P50*N50</f>
        <v>0.06</v>
      </c>
      <c r="R50" s="11"/>
    </row>
    <row r="51" spans="1:18" x14ac:dyDescent="0.25">
      <c r="A51" s="1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>L51*5</f>
        <v>20</v>
      </c>
      <c r="N51" s="5">
        <v>100</v>
      </c>
      <c r="O51" s="16" t="s">
        <v>467</v>
      </c>
      <c r="P51" s="6">
        <v>6.9999999999999999E-4</v>
      </c>
      <c r="Q51" s="6">
        <f>P51*N51</f>
        <v>6.9999999999999993E-2</v>
      </c>
      <c r="R51" s="5"/>
    </row>
    <row r="52" spans="1:18" x14ac:dyDescent="0.25">
      <c r="A52" s="1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17">
        <f t="shared" ref="M52" si="45">L52*5</f>
        <v>5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x14ac:dyDescent="0.25">
      <c r="A53" s="1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>L53*5</f>
        <v>5</v>
      </c>
      <c r="N53" s="5">
        <v>20</v>
      </c>
      <c r="O53" s="16" t="s">
        <v>467</v>
      </c>
      <c r="P53" s="6">
        <v>2.58E-2</v>
      </c>
      <c r="Q53" s="6">
        <f>P53*N53</f>
        <v>0.51600000000000001</v>
      </c>
      <c r="R53" s="5"/>
    </row>
    <row r="54" spans="1:18" x14ac:dyDescent="0.25">
      <c r="A54" s="1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11">
        <f t="shared" ref="M54" si="46">L54*5</f>
        <v>10</v>
      </c>
      <c r="N54" s="11">
        <v>100</v>
      </c>
      <c r="O54" s="16" t="s">
        <v>467</v>
      </c>
      <c r="P54" s="12">
        <v>1.1999999999999999E-3</v>
      </c>
      <c r="Q54" s="12">
        <f t="shared" ref="Q54" si="47">P54*N54</f>
        <v>0.12</v>
      </c>
      <c r="R54" s="11"/>
    </row>
    <row r="55" spans="1:18" x14ac:dyDescent="0.25">
      <c r="A55" s="1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17">
        <f>L55*5</f>
        <v>10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x14ac:dyDescent="0.25">
      <c r="A56" s="1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11">
        <f t="shared" ref="M56" si="48">L56*5</f>
        <v>20</v>
      </c>
      <c r="N56" s="11">
        <v>100</v>
      </c>
      <c r="O56" s="16" t="s">
        <v>467</v>
      </c>
      <c r="P56" s="12">
        <v>5.9999999999999995E-4</v>
      </c>
      <c r="Q56" s="12">
        <f t="shared" ref="Q56" si="49">P56*N56</f>
        <v>0.06</v>
      </c>
      <c r="R56" s="11"/>
    </row>
    <row r="57" spans="1:18" x14ac:dyDescent="0.25">
      <c r="A57" s="1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>L57*5</f>
        <v>5</v>
      </c>
      <c r="N57" s="5">
        <v>100</v>
      </c>
      <c r="O57" s="16" t="s">
        <v>467</v>
      </c>
      <c r="P57" s="6">
        <v>8.9999999999999998E-4</v>
      </c>
      <c r="Q57" s="6">
        <f>P57*N57</f>
        <v>0.09</v>
      </c>
      <c r="R57" s="5"/>
    </row>
    <row r="58" spans="1:18" x14ac:dyDescent="0.25">
      <c r="A58" s="1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17">
        <f t="shared" ref="M58" si="50">L58*5</f>
        <v>15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x14ac:dyDescent="0.25">
      <c r="A59" s="1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>L59*5</f>
        <v>5</v>
      </c>
      <c r="N59" s="5">
        <v>100</v>
      </c>
      <c r="O59" s="15" t="s">
        <v>467</v>
      </c>
      <c r="P59" s="6">
        <v>1.1000000000000001E-3</v>
      </c>
      <c r="Q59" s="6">
        <f>P59*N59</f>
        <v>0.11</v>
      </c>
      <c r="R59" s="5"/>
    </row>
    <row r="60" spans="1:18" x14ac:dyDescent="0.25">
      <c r="A60" s="1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17">
        <f t="shared" ref="M60" si="51">L60*5</f>
        <v>5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x14ac:dyDescent="0.25">
      <c r="A61" s="1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>L61*5</f>
        <v>15</v>
      </c>
      <c r="N61" s="11">
        <v>100</v>
      </c>
      <c r="O61" s="16" t="s">
        <v>467</v>
      </c>
      <c r="P61" s="12">
        <v>6.9999999999999999E-4</v>
      </c>
      <c r="Q61" s="6">
        <f>P61*N61</f>
        <v>6.9999999999999993E-2</v>
      </c>
      <c r="R61" s="5"/>
    </row>
    <row r="62" spans="1:18" x14ac:dyDescent="0.25">
      <c r="A62" s="1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11">
        <f t="shared" ref="M62" si="52">L62*5</f>
        <v>5</v>
      </c>
      <c r="N62" s="5">
        <v>100</v>
      </c>
      <c r="O62" s="15" t="s">
        <v>467</v>
      </c>
      <c r="P62" s="6">
        <v>5.0000000000000001E-3</v>
      </c>
      <c r="Q62" s="12">
        <f t="shared" ref="Q62" si="53">P62*N62</f>
        <v>0.5</v>
      </c>
      <c r="R62" s="11"/>
    </row>
    <row r="63" spans="1:18" x14ac:dyDescent="0.25">
      <c r="A63" s="1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>L63*5</f>
        <v>10</v>
      </c>
      <c r="N63" s="5">
        <v>100</v>
      </c>
      <c r="O63" s="16" t="s">
        <v>467</v>
      </c>
      <c r="P63" s="6">
        <v>5.9999999999999995E-4</v>
      </c>
      <c r="Q63" s="6">
        <f>P63*N63</f>
        <v>0.06</v>
      </c>
      <c r="R63" s="5"/>
    </row>
    <row r="64" spans="1:18" x14ac:dyDescent="0.25">
      <c r="A64" s="1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11">
        <f t="shared" ref="M64" si="54">L64*5</f>
        <v>5</v>
      </c>
      <c r="N64" s="11">
        <v>50</v>
      </c>
      <c r="O64" s="16" t="s">
        <v>467</v>
      </c>
      <c r="P64" s="12">
        <v>1.03E-2</v>
      </c>
      <c r="Q64" s="12">
        <f t="shared" ref="Q64" si="55">P64*N64</f>
        <v>0.51500000000000001</v>
      </c>
      <c r="R64" s="11"/>
    </row>
    <row r="65" spans="1:18" x14ac:dyDescent="0.25">
      <c r="A65" s="1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>L65*5</f>
        <v>5</v>
      </c>
      <c r="N65" s="11">
        <v>100</v>
      </c>
      <c r="O65" s="16" t="s">
        <v>467</v>
      </c>
      <c r="P65" s="12">
        <v>2.8E-3</v>
      </c>
      <c r="Q65" s="6">
        <f>P65*N65</f>
        <v>0.27999999999999997</v>
      </c>
      <c r="R65" s="5"/>
    </row>
    <row r="66" spans="1:18" x14ac:dyDescent="0.25">
      <c r="A66" s="1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11">
        <f t="shared" ref="M66" si="56">L66*5</f>
        <v>5</v>
      </c>
      <c r="N66" s="11">
        <v>100</v>
      </c>
      <c r="O66" s="16" t="s">
        <v>467</v>
      </c>
      <c r="P66" s="12">
        <v>5.9999999999999995E-4</v>
      </c>
      <c r="Q66" s="12">
        <f t="shared" ref="Q66" si="57">P66*N66</f>
        <v>0.06</v>
      </c>
      <c r="R66" s="11"/>
    </row>
    <row r="67" spans="1:18" x14ac:dyDescent="0.25">
      <c r="A67" s="1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>L67*5</f>
        <v>5</v>
      </c>
      <c r="N67" s="11">
        <v>100</v>
      </c>
      <c r="O67" s="21" t="s">
        <v>467</v>
      </c>
      <c r="P67" s="12">
        <v>1.2999999999999999E-3</v>
      </c>
      <c r="Q67" s="6">
        <f>P67*N67</f>
        <v>0.13</v>
      </c>
      <c r="R67" s="5"/>
    </row>
    <row r="68" spans="1:18" ht="36" x14ac:dyDescent="0.25">
      <c r="A68" s="1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11">
        <f t="shared" ref="M68" si="58">L68*5</f>
        <v>5</v>
      </c>
      <c r="N68" s="5">
        <v>100</v>
      </c>
      <c r="O68" s="16" t="s">
        <v>467</v>
      </c>
      <c r="P68" s="6">
        <v>8.9999999999999998E-4</v>
      </c>
      <c r="Q68" s="12">
        <f t="shared" ref="Q68" si="59">P68*N68</f>
        <v>0.09</v>
      </c>
      <c r="R68" s="11"/>
    </row>
    <row r="69" spans="1:18" x14ac:dyDescent="0.25">
      <c r="A69" s="1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>L69*5</f>
        <v>5</v>
      </c>
      <c r="N69" s="11">
        <v>100</v>
      </c>
      <c r="O69" s="16" t="s">
        <v>467</v>
      </c>
      <c r="P69" s="12">
        <v>2.0999999999999999E-3</v>
      </c>
      <c r="Q69" s="6">
        <f>P69*N69</f>
        <v>0.21</v>
      </c>
      <c r="R69" s="5"/>
    </row>
    <row r="70" spans="1:18" x14ac:dyDescent="0.25">
      <c r="A70" s="1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11">
        <f t="shared" ref="M70" si="60">L70*5</f>
        <v>5</v>
      </c>
      <c r="N70" s="5">
        <v>100</v>
      </c>
      <c r="O70" s="16" t="s">
        <v>467</v>
      </c>
      <c r="P70" s="6">
        <v>2.5999999999999999E-3</v>
      </c>
      <c r="Q70" s="12">
        <f t="shared" ref="Q70" si="61">P70*N70</f>
        <v>0.26</v>
      </c>
      <c r="R70" s="11"/>
    </row>
    <row r="71" spans="1:18" ht="36" x14ac:dyDescent="0.25">
      <c r="A71" s="1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>L71*5</f>
        <v>5</v>
      </c>
      <c r="N71" s="11">
        <v>100</v>
      </c>
      <c r="O71" s="16" t="s">
        <v>467</v>
      </c>
      <c r="P71" s="12">
        <v>5.0000000000000001E-4</v>
      </c>
      <c r="Q71" s="6">
        <f>P71*N71</f>
        <v>0.05</v>
      </c>
      <c r="R71" s="5"/>
    </row>
    <row r="72" spans="1:18" x14ac:dyDescent="0.25">
      <c r="A72" s="1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11">
        <f t="shared" ref="M72" si="62">L72*5</f>
        <v>10</v>
      </c>
      <c r="N72" s="5">
        <v>100</v>
      </c>
      <c r="O72" s="16" t="s">
        <v>467</v>
      </c>
      <c r="P72" s="6">
        <v>1E-3</v>
      </c>
      <c r="Q72" s="12">
        <f t="shared" ref="Q72" si="63">P72*N72</f>
        <v>0.1</v>
      </c>
      <c r="R72" s="11"/>
    </row>
    <row r="73" spans="1:18" x14ac:dyDescent="0.25">
      <c r="A73" s="1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>L73*5</f>
        <v>5</v>
      </c>
      <c r="N73" s="11">
        <v>6</v>
      </c>
      <c r="O73" s="16" t="s">
        <v>467</v>
      </c>
      <c r="P73" s="12">
        <v>0.47749999999999998</v>
      </c>
      <c r="Q73" s="6">
        <f>P73*N73</f>
        <v>2.8649999999999998</v>
      </c>
      <c r="R73" s="5"/>
    </row>
    <row r="74" spans="1:18" x14ac:dyDescent="0.25">
      <c r="A74" s="1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11">
        <f t="shared" ref="M74" si="64">L74*5</f>
        <v>5</v>
      </c>
      <c r="N74" s="5">
        <v>20</v>
      </c>
      <c r="O74" s="16" t="s">
        <v>467</v>
      </c>
      <c r="P74" s="6">
        <v>3.6900000000000002E-2</v>
      </c>
      <c r="Q74" s="12">
        <f t="shared" ref="Q74" si="65">P74*N74</f>
        <v>0.73799999999999999</v>
      </c>
      <c r="R74" s="11"/>
    </row>
    <row r="75" spans="1:18" x14ac:dyDescent="0.25">
      <c r="A75" s="1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>L75*5</f>
        <v>5</v>
      </c>
      <c r="N75" s="11">
        <v>20</v>
      </c>
      <c r="O75" s="16" t="s">
        <v>467</v>
      </c>
      <c r="P75" s="12">
        <v>3.6999999999999998E-2</v>
      </c>
      <c r="Q75" s="6">
        <f>P75*N75</f>
        <v>0.74</v>
      </c>
      <c r="R75" s="5"/>
    </row>
    <row r="76" spans="1:18" x14ac:dyDescent="0.25">
      <c r="A76" s="1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11">
        <f t="shared" ref="M76" si="66">L76*5</f>
        <v>5</v>
      </c>
      <c r="N76" s="5">
        <v>20</v>
      </c>
      <c r="O76" s="16" t="s">
        <v>467</v>
      </c>
      <c r="P76" s="6">
        <v>2.07E-2</v>
      </c>
      <c r="Q76" s="12">
        <f t="shared" ref="Q76" si="67">P76*N76</f>
        <v>0.41399999999999998</v>
      </c>
      <c r="R76" s="11"/>
    </row>
    <row r="77" spans="1:18" ht="36" x14ac:dyDescent="0.25">
      <c r="A77" s="1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>L77*5</f>
        <v>5</v>
      </c>
      <c r="N77" s="5">
        <v>100</v>
      </c>
      <c r="O77" s="16" t="s">
        <v>467</v>
      </c>
      <c r="P77" s="6">
        <v>5.0000000000000001E-4</v>
      </c>
      <c r="Q77" s="6">
        <f>P77*N77</f>
        <v>0.05</v>
      </c>
      <c r="R77" s="5"/>
    </row>
    <row r="78" spans="1:18" x14ac:dyDescent="0.25">
      <c r="A78" s="1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11">
        <f t="shared" ref="M78" si="68">L78*5</f>
        <v>10</v>
      </c>
      <c r="N78" s="11">
        <v>50</v>
      </c>
      <c r="O78" s="16" t="s">
        <v>467</v>
      </c>
      <c r="P78" s="12">
        <v>7.7000000000000002E-3</v>
      </c>
      <c r="Q78" s="12">
        <f t="shared" ref="Q78" si="69">P78*N78</f>
        <v>0.38500000000000001</v>
      </c>
      <c r="R78" s="11"/>
    </row>
    <row r="79" spans="1:18" x14ac:dyDescent="0.25">
      <c r="A79" s="1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>L79*5</f>
        <v>5</v>
      </c>
      <c r="N79" s="5">
        <v>20</v>
      </c>
      <c r="O79" s="16" t="s">
        <v>467</v>
      </c>
      <c r="P79" s="6">
        <v>2.4299999999999999E-2</v>
      </c>
      <c r="Q79" s="6">
        <f>P79*N79</f>
        <v>0.48599999999999999</v>
      </c>
      <c r="R79" s="5"/>
    </row>
    <row r="80" spans="1:18" x14ac:dyDescent="0.25">
      <c r="A80" s="1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11">
        <f t="shared" ref="M80" si="70">L80*5</f>
        <v>20</v>
      </c>
      <c r="N80" s="5">
        <v>25</v>
      </c>
      <c r="O80" s="16" t="s">
        <v>467</v>
      </c>
      <c r="P80" s="6">
        <v>0.1552</v>
      </c>
      <c r="Q80" s="12">
        <f t="shared" ref="Q80" si="71">P80*N80</f>
        <v>3.88</v>
      </c>
      <c r="R80" s="11"/>
    </row>
    <row r="81" spans="1:18" ht="36" x14ac:dyDescent="0.25">
      <c r="A81" s="1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>L81*5</f>
        <v>5</v>
      </c>
      <c r="N81" s="11">
        <v>50</v>
      </c>
      <c r="O81" s="16" t="s">
        <v>467</v>
      </c>
      <c r="P81" s="12">
        <v>1.3299999999999999E-2</v>
      </c>
      <c r="Q81" s="6">
        <f>P81*N81</f>
        <v>0.66499999999999992</v>
      </c>
      <c r="R81" s="5"/>
    </row>
    <row r="82" spans="1:18" ht="24" x14ac:dyDescent="0.25">
      <c r="A82" s="1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11">
        <f t="shared" ref="M82" si="72">L82*5</f>
        <v>5</v>
      </c>
      <c r="N82" s="11">
        <v>6</v>
      </c>
      <c r="O82" s="16" t="s">
        <v>467</v>
      </c>
      <c r="P82" s="12">
        <v>2.8976000000000002</v>
      </c>
      <c r="Q82" s="12">
        <f t="shared" ref="Q82" si="73">P82*N82</f>
        <v>17.3856</v>
      </c>
      <c r="R82" s="11"/>
    </row>
    <row r="83" spans="1:18" x14ac:dyDescent="0.25">
      <c r="A83" s="1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>L83*5</f>
        <v>5</v>
      </c>
      <c r="N83" s="5">
        <v>6</v>
      </c>
      <c r="O83" s="16" t="s">
        <v>467</v>
      </c>
      <c r="P83" s="6">
        <v>5.4526000000000003</v>
      </c>
      <c r="Q83" s="6">
        <f>P83*N83</f>
        <v>32.715600000000002</v>
      </c>
      <c r="R83" s="5"/>
    </row>
    <row r="84" spans="1:18" x14ac:dyDescent="0.25">
      <c r="A84" s="1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11">
        <f t="shared" ref="M84" si="74">L84*5</f>
        <v>10</v>
      </c>
      <c r="N84" s="11">
        <v>11</v>
      </c>
      <c r="O84" s="16" t="s">
        <v>467</v>
      </c>
      <c r="P84" s="12">
        <v>2.4032</v>
      </c>
      <c r="Q84" s="12">
        <f t="shared" ref="Q84" si="75">P84*N84</f>
        <v>26.435200000000002</v>
      </c>
      <c r="R84" s="11"/>
    </row>
    <row r="85" spans="1:18" ht="24" x14ac:dyDescent="0.25">
      <c r="A85" s="1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>L85*5</f>
        <v>5</v>
      </c>
      <c r="N85" s="5">
        <v>6</v>
      </c>
      <c r="O85" s="16" t="s">
        <v>467</v>
      </c>
      <c r="P85" s="6">
        <v>9.8475000000000001</v>
      </c>
      <c r="Q85" s="6">
        <f>P85*N85</f>
        <v>59.085000000000001</v>
      </c>
      <c r="R85" s="5"/>
    </row>
    <row r="86" spans="1:18" ht="24" x14ac:dyDescent="0.25">
      <c r="A86" s="1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11">
        <f t="shared" ref="M86" si="76">L86*5</f>
        <v>5</v>
      </c>
      <c r="N86" s="5">
        <v>6</v>
      </c>
      <c r="O86" s="16" t="s">
        <v>467</v>
      </c>
      <c r="P86" s="6">
        <v>1.7825</v>
      </c>
      <c r="Q86" s="12">
        <f t="shared" ref="Q86" si="77">P86*N86</f>
        <v>10.695</v>
      </c>
      <c r="R86" s="11"/>
    </row>
    <row r="87" spans="1:18" x14ac:dyDescent="0.25">
      <c r="A87" s="1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>L87*5</f>
        <v>5</v>
      </c>
      <c r="N87" s="5">
        <v>6</v>
      </c>
      <c r="O87" s="16" t="s">
        <v>467</v>
      </c>
      <c r="P87" s="6">
        <v>1.0048999999999999</v>
      </c>
      <c r="Q87" s="6">
        <f>P87*N87</f>
        <v>6.029399999999999</v>
      </c>
      <c r="R87" s="5"/>
    </row>
    <row r="88" spans="1:18" ht="24" x14ac:dyDescent="0.25">
      <c r="A88" s="1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11">
        <f t="shared" ref="M88" si="78">L88*5</f>
        <v>5</v>
      </c>
      <c r="N88" s="11">
        <v>10</v>
      </c>
      <c r="O88" s="16" t="s">
        <v>467</v>
      </c>
      <c r="P88" s="12">
        <v>0.15359999999999999</v>
      </c>
      <c r="Q88" s="12">
        <f t="shared" ref="Q88" si="79">P88*N88</f>
        <v>1.5359999999999998</v>
      </c>
      <c r="R88" s="11"/>
    </row>
    <row r="89" spans="1:18" x14ac:dyDescent="0.25">
      <c r="A89" s="1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>L89*5</f>
        <v>10</v>
      </c>
      <c r="N89" s="11">
        <v>15</v>
      </c>
      <c r="O89" s="16" t="s">
        <v>467</v>
      </c>
      <c r="P89" s="12">
        <v>0.19159999999999999</v>
      </c>
      <c r="Q89" s="6">
        <f>P89*N89</f>
        <v>2.8739999999999997</v>
      </c>
      <c r="R89" s="5"/>
    </row>
    <row r="90" spans="1:18" x14ac:dyDescent="0.25">
      <c r="A90" s="1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11">
        <f t="shared" ref="M90" si="80">L90*5</f>
        <v>5</v>
      </c>
      <c r="N90" s="5">
        <v>10</v>
      </c>
      <c r="O90" s="16" t="s">
        <v>467</v>
      </c>
      <c r="P90" s="6">
        <v>8.0799999999999997E-2</v>
      </c>
      <c r="Q90" s="12">
        <f t="shared" ref="Q90" si="81">P90*N90</f>
        <v>0.80799999999999994</v>
      </c>
      <c r="R90" s="11"/>
    </row>
    <row r="91" spans="1:18" ht="24" x14ac:dyDescent="0.25">
      <c r="A91" s="1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>L91*5</f>
        <v>5</v>
      </c>
      <c r="N91" s="11">
        <v>10</v>
      </c>
      <c r="O91" s="16" t="s">
        <v>467</v>
      </c>
      <c r="P91" s="12">
        <v>0.2306</v>
      </c>
      <c r="Q91" s="6">
        <f>P91*N91</f>
        <v>2.306</v>
      </c>
      <c r="R91" s="5"/>
    </row>
    <row r="92" spans="1:18" ht="36" x14ac:dyDescent="0.25">
      <c r="A92" s="1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11">
        <f t="shared" ref="M92" si="82">L92*5</f>
        <v>5</v>
      </c>
      <c r="N92" s="11">
        <v>10</v>
      </c>
      <c r="O92" s="16" t="s">
        <v>467</v>
      </c>
      <c r="P92" s="12">
        <v>5.8200000000000002E-2</v>
      </c>
      <c r="Q92" s="12">
        <f t="shared" ref="Q92" si="83">P92*N92</f>
        <v>0.58200000000000007</v>
      </c>
      <c r="R92" s="11"/>
    </row>
    <row r="93" spans="1:18" ht="15.75" thickBot="1" x14ac:dyDescent="0.3">
      <c r="A93" s="1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>L93*5</f>
        <v>5</v>
      </c>
      <c r="N93" s="5">
        <v>10</v>
      </c>
      <c r="O93" s="16" t="s">
        <v>467</v>
      </c>
      <c r="P93" s="6">
        <v>0.25950000000000001</v>
      </c>
      <c r="Q93" s="6">
        <f>P93*N93</f>
        <v>2.5950000000000002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5" t="s">
        <v>1</v>
      </c>
      <c r="O94" s="26"/>
      <c r="P94" s="26"/>
      <c r="Q94" s="9">
        <f>SUM(Q5:Q93)</f>
        <v>216.04810000000003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5" t="s">
        <v>2</v>
      </c>
      <c r="O95" s="26"/>
      <c r="P95" s="26"/>
      <c r="Q95" s="10">
        <f>Q94/5</f>
        <v>43.209620000000008</v>
      </c>
      <c r="R95" s="1"/>
    </row>
    <row r="96" spans="1:18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26.25" x14ac:dyDescent="0.25">
      <c r="A97" s="1"/>
      <c r="B97" s="2"/>
      <c r="C97" s="2"/>
      <c r="D97" s="27" t="s">
        <v>487</v>
      </c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3"/>
      <c r="Q97" s="23"/>
      <c r="R97" s="23"/>
    </row>
    <row r="98" spans="1:18" ht="15.75" thickBot="1" x14ac:dyDescent="0.3">
      <c r="A98" s="1"/>
      <c r="B98" s="2"/>
      <c r="C98" s="2"/>
      <c r="D98" s="22"/>
      <c r="E98" s="22"/>
      <c r="F98" s="22"/>
      <c r="G98" s="22"/>
      <c r="H98" s="22"/>
      <c r="I98" s="22"/>
      <c r="J98" s="22"/>
      <c r="K98" s="23"/>
      <c r="L98" s="23"/>
      <c r="M98" s="23"/>
      <c r="N98" s="23"/>
      <c r="O98" s="23"/>
      <c r="P98" s="23"/>
      <c r="Q98" s="23"/>
      <c r="R98" s="23"/>
    </row>
    <row r="99" spans="1:18" ht="15.75" thickBot="1" x14ac:dyDescent="0.3">
      <c r="A99" s="1"/>
      <c r="B99" s="4" t="s">
        <v>0</v>
      </c>
      <c r="C99" s="4" t="s">
        <v>3</v>
      </c>
      <c r="D99" s="4" t="s">
        <v>16</v>
      </c>
      <c r="E99" s="4" t="s">
        <v>106</v>
      </c>
      <c r="F99" s="4" t="s">
        <v>190</v>
      </c>
      <c r="G99" s="4" t="s">
        <v>220</v>
      </c>
      <c r="H99" s="4" t="s">
        <v>298</v>
      </c>
      <c r="I99" s="4" t="s">
        <v>459</v>
      </c>
      <c r="J99" s="4" t="s">
        <v>327</v>
      </c>
      <c r="K99" s="4" t="s">
        <v>460</v>
      </c>
      <c r="L99" s="4" t="s">
        <v>458</v>
      </c>
      <c r="M99" s="4" t="s">
        <v>461</v>
      </c>
      <c r="N99" s="4" t="s">
        <v>462</v>
      </c>
      <c r="O99" s="4" t="s">
        <v>463</v>
      </c>
      <c r="P99" s="4" t="s">
        <v>464</v>
      </c>
      <c r="Q99" s="4" t="s">
        <v>465</v>
      </c>
      <c r="R99" s="4" t="s">
        <v>466</v>
      </c>
    </row>
    <row r="100" spans="1:18" x14ac:dyDescent="0.25">
      <c r="A100" s="1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L100*5</f>
        <v>10</v>
      </c>
      <c r="N100" s="11">
        <v>100</v>
      </c>
      <c r="O100" s="16" t="s">
        <v>467</v>
      </c>
      <c r="P100" s="12">
        <v>3.8999999999999998E-3</v>
      </c>
      <c r="Q100" s="6">
        <f>P100*N100</f>
        <v>0.38999999999999996</v>
      </c>
      <c r="R100" s="5"/>
    </row>
    <row r="101" spans="1:18" x14ac:dyDescent="0.25">
      <c r="A101" s="1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11">
        <f t="shared" ref="M101" si="84">L101*5</f>
        <v>5</v>
      </c>
      <c r="N101" s="5">
        <v>100</v>
      </c>
      <c r="O101" s="16" t="s">
        <v>467</v>
      </c>
      <c r="P101" s="6">
        <v>5.1999999999999998E-3</v>
      </c>
      <c r="Q101" s="12">
        <f t="shared" ref="Q101" si="85">P101*N101</f>
        <v>0.52</v>
      </c>
      <c r="R101" s="11"/>
    </row>
    <row r="102" spans="1:18" x14ac:dyDescent="0.25">
      <c r="A102" s="1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>L102*5</f>
        <v>5</v>
      </c>
      <c r="N102" s="11">
        <v>100</v>
      </c>
      <c r="O102" s="16" t="s">
        <v>467</v>
      </c>
      <c r="P102" s="12">
        <v>2.5999999999999999E-3</v>
      </c>
      <c r="Q102" s="6">
        <f>P102*N102</f>
        <v>0.26</v>
      </c>
      <c r="R102" s="5"/>
    </row>
    <row r="103" spans="1:18" x14ac:dyDescent="0.25">
      <c r="A103" s="1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11">
        <f t="shared" ref="M103" si="86">L103*5</f>
        <v>5</v>
      </c>
      <c r="N103" s="5">
        <v>100</v>
      </c>
      <c r="O103" s="16" t="s">
        <v>467</v>
      </c>
      <c r="P103" s="6">
        <v>2.8999999999999998E-3</v>
      </c>
      <c r="Q103" s="12">
        <f t="shared" ref="Q103" si="87">P103*N103</f>
        <v>0.28999999999999998</v>
      </c>
      <c r="R103" s="11"/>
    </row>
    <row r="104" spans="1:18" x14ac:dyDescent="0.25">
      <c r="A104" s="1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>L104*5</f>
        <v>10</v>
      </c>
      <c r="N104" s="11">
        <v>15</v>
      </c>
      <c r="O104" s="16" t="s">
        <v>467</v>
      </c>
      <c r="P104" s="12">
        <v>0.17419999999999999</v>
      </c>
      <c r="Q104" s="6">
        <f>P104*N104</f>
        <v>2.613</v>
      </c>
      <c r="R104" s="5"/>
    </row>
    <row r="105" spans="1:18" x14ac:dyDescent="0.25">
      <c r="A105" s="1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11">
        <f t="shared" ref="M105" si="88">L105*5</f>
        <v>5</v>
      </c>
      <c r="N105" s="5">
        <v>100</v>
      </c>
      <c r="O105" s="16" t="s">
        <v>467</v>
      </c>
      <c r="P105" s="6">
        <v>4.8999999999999998E-3</v>
      </c>
      <c r="Q105" s="12">
        <f t="shared" ref="Q105" si="89">P105*N105</f>
        <v>0.49</v>
      </c>
      <c r="R105" s="11"/>
    </row>
    <row r="106" spans="1:18" x14ac:dyDescent="0.25">
      <c r="A106" s="1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>L106*5</f>
        <v>10</v>
      </c>
      <c r="N106" s="5">
        <v>15</v>
      </c>
      <c r="O106" s="16" t="s">
        <v>467</v>
      </c>
      <c r="P106" s="6">
        <v>0.17219999999999999</v>
      </c>
      <c r="Q106" s="6">
        <f>P106*N106</f>
        <v>2.5829999999999997</v>
      </c>
      <c r="R106" s="5"/>
    </row>
    <row r="107" spans="1:18" x14ac:dyDescent="0.25">
      <c r="A107" s="1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11">
        <f t="shared" ref="M107" si="90">L107*5</f>
        <v>5</v>
      </c>
      <c r="N107" s="11">
        <v>100</v>
      </c>
      <c r="O107" s="16" t="s">
        <v>467</v>
      </c>
      <c r="P107" s="12">
        <v>3.5000000000000001E-3</v>
      </c>
      <c r="Q107" s="12">
        <f t="shared" ref="Q107" si="91">P107*N107</f>
        <v>0.35000000000000003</v>
      </c>
      <c r="R107" s="11"/>
    </row>
    <row r="108" spans="1:18" ht="24" x14ac:dyDescent="0.25">
      <c r="A108" s="1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>L108*5</f>
        <v>10</v>
      </c>
      <c r="N108" s="11">
        <v>50</v>
      </c>
      <c r="O108" s="16" t="s">
        <v>467</v>
      </c>
      <c r="P108" s="12">
        <v>8.9999999999999993E-3</v>
      </c>
      <c r="Q108" s="6">
        <f>P108*N108</f>
        <v>0.44999999999999996</v>
      </c>
      <c r="R108" s="5"/>
    </row>
    <row r="109" spans="1:18" x14ac:dyDescent="0.25">
      <c r="A109" s="1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11">
        <f t="shared" ref="M109" si="92">L109*5</f>
        <v>10</v>
      </c>
      <c r="N109" s="11">
        <v>15</v>
      </c>
      <c r="O109" s="16" t="s">
        <v>467</v>
      </c>
      <c r="P109" s="12">
        <v>0.1769</v>
      </c>
      <c r="Q109" s="12">
        <f t="shared" ref="Q109" si="93">P109*N109</f>
        <v>2.6535000000000002</v>
      </c>
      <c r="R109" s="11"/>
    </row>
    <row r="110" spans="1:18" ht="48" x14ac:dyDescent="0.25">
      <c r="A110" s="1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>L110*5</f>
        <v>5</v>
      </c>
      <c r="N110" s="5">
        <v>50</v>
      </c>
      <c r="O110" s="16" t="s">
        <v>467</v>
      </c>
      <c r="P110" s="6">
        <v>1.6899999999999998E-2</v>
      </c>
      <c r="Q110" s="6">
        <f>P110*N110</f>
        <v>0.84499999999999997</v>
      </c>
      <c r="R110" s="5"/>
    </row>
    <row r="111" spans="1:18" ht="24" x14ac:dyDescent="0.25">
      <c r="A111" s="1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11">
        <f t="shared" ref="M111" si="94">L111*5</f>
        <v>5</v>
      </c>
      <c r="N111" s="5">
        <v>10</v>
      </c>
      <c r="O111" s="16" t="s">
        <v>467</v>
      </c>
      <c r="P111" s="6">
        <v>0.14760000000000001</v>
      </c>
      <c r="Q111" s="12">
        <f t="shared" ref="Q111" si="95">P111*N111</f>
        <v>1.476</v>
      </c>
      <c r="R111" s="11"/>
    </row>
    <row r="112" spans="1:18" x14ac:dyDescent="0.25">
      <c r="A112" s="1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>L112*5</f>
        <v>5</v>
      </c>
      <c r="N112" s="11">
        <v>10</v>
      </c>
      <c r="O112" s="16" t="s">
        <v>467</v>
      </c>
      <c r="P112" s="12">
        <v>3.85E-2</v>
      </c>
      <c r="Q112" s="6">
        <f>P112*N112</f>
        <v>0.38500000000000001</v>
      </c>
      <c r="R112" s="5"/>
    </row>
    <row r="113" spans="1:18" ht="48" x14ac:dyDescent="0.25">
      <c r="A113" s="1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11">
        <f t="shared" ref="M113" si="96">L113*5</f>
        <v>5</v>
      </c>
      <c r="N113" s="11">
        <v>20</v>
      </c>
      <c r="O113" s="16" t="s">
        <v>467</v>
      </c>
      <c r="P113" s="12">
        <v>3.2399999999999998E-2</v>
      </c>
      <c r="Q113" s="12">
        <f t="shared" ref="Q113" si="97">P113*N113</f>
        <v>0.64799999999999991</v>
      </c>
      <c r="R113" s="11"/>
    </row>
    <row r="114" spans="1:18" x14ac:dyDescent="0.25">
      <c r="A114" s="1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>L114*5</f>
        <v>5</v>
      </c>
      <c r="N114" s="5">
        <v>100</v>
      </c>
      <c r="O114" s="16" t="s">
        <v>467</v>
      </c>
      <c r="P114" s="6">
        <v>5.0000000000000001E-4</v>
      </c>
      <c r="Q114" s="6">
        <f>P114*N114</f>
        <v>0.05</v>
      </c>
      <c r="R114" s="5"/>
    </row>
    <row r="115" spans="1:18" x14ac:dyDescent="0.25">
      <c r="A115" s="1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11">
        <f t="shared" ref="M115" si="98">L115*5</f>
        <v>10</v>
      </c>
      <c r="N115" s="5">
        <v>100</v>
      </c>
      <c r="O115" s="16" t="s">
        <v>467</v>
      </c>
      <c r="P115" s="6">
        <v>6.9999999999999999E-4</v>
      </c>
      <c r="Q115" s="12">
        <f t="shared" ref="Q115" si="99">P115*N115</f>
        <v>6.9999999999999993E-2</v>
      </c>
      <c r="R115" s="11"/>
    </row>
    <row r="116" spans="1:18" x14ac:dyDescent="0.25">
      <c r="A116" s="1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>L116*5</f>
        <v>5</v>
      </c>
      <c r="N116" s="11">
        <v>100</v>
      </c>
      <c r="O116" s="21" t="s">
        <v>467</v>
      </c>
      <c r="P116" s="12">
        <v>1.2999999999999999E-3</v>
      </c>
      <c r="Q116" s="6">
        <f>P116*N116</f>
        <v>0.13</v>
      </c>
      <c r="R116" s="5"/>
    </row>
    <row r="117" spans="1:18" x14ac:dyDescent="0.25">
      <c r="A117" s="1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11">
        <f t="shared" ref="M117" si="100">L117*5</f>
        <v>10</v>
      </c>
      <c r="N117" s="5">
        <v>100</v>
      </c>
      <c r="O117" s="16" t="s">
        <v>467</v>
      </c>
      <c r="P117" s="6">
        <v>1.1999999999999999E-3</v>
      </c>
      <c r="Q117" s="12">
        <f t="shared" ref="Q117" si="101">P117*N117</f>
        <v>0.12</v>
      </c>
      <c r="R117" s="11"/>
    </row>
    <row r="118" spans="1:18" x14ac:dyDescent="0.25">
      <c r="A118" s="1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>L118*5</f>
        <v>5</v>
      </c>
      <c r="N118" s="11">
        <v>20</v>
      </c>
      <c r="O118" s="16" t="s">
        <v>467</v>
      </c>
      <c r="P118" s="12">
        <v>2.4299999999999999E-2</v>
      </c>
      <c r="Q118" s="6">
        <f>P118*N118</f>
        <v>0.48599999999999999</v>
      </c>
      <c r="R118" s="5"/>
    </row>
    <row r="119" spans="1:18" x14ac:dyDescent="0.25">
      <c r="A119" s="1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11">
        <f t="shared" ref="M119" si="102">L119*5</f>
        <v>10</v>
      </c>
      <c r="N119" s="5">
        <v>100</v>
      </c>
      <c r="O119" s="16" t="s">
        <v>467</v>
      </c>
      <c r="P119" s="6">
        <v>3.5999999999999999E-3</v>
      </c>
      <c r="Q119" s="12">
        <f t="shared" ref="Q119" si="103">P119*N119</f>
        <v>0.36</v>
      </c>
      <c r="R119" s="11"/>
    </row>
    <row r="120" spans="1:18" x14ac:dyDescent="0.25">
      <c r="A120" s="1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>L120*5</f>
        <v>5</v>
      </c>
      <c r="N120" s="11">
        <v>100</v>
      </c>
      <c r="O120" s="16" t="s">
        <v>467</v>
      </c>
      <c r="P120" s="12">
        <v>1.1999999999999999E-3</v>
      </c>
      <c r="Q120" s="6">
        <f>P120*N120</f>
        <v>0.12</v>
      </c>
      <c r="R120" s="5"/>
    </row>
    <row r="121" spans="1:18" x14ac:dyDescent="0.25">
      <c r="A121" s="1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11">
        <f t="shared" ref="M121" si="104">L121*5</f>
        <v>5</v>
      </c>
      <c r="N121" s="5">
        <v>20</v>
      </c>
      <c r="O121" s="16" t="s">
        <v>467</v>
      </c>
      <c r="P121" s="6">
        <v>2.07E-2</v>
      </c>
      <c r="Q121" s="12">
        <f t="shared" ref="Q121" si="105">P121*N121</f>
        <v>0.41399999999999998</v>
      </c>
      <c r="R121" s="11"/>
    </row>
    <row r="122" spans="1:18" x14ac:dyDescent="0.25">
      <c r="A122" s="1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>L122*5</f>
        <v>5</v>
      </c>
      <c r="N122" s="11">
        <v>6</v>
      </c>
      <c r="O122" s="16" t="s">
        <v>467</v>
      </c>
      <c r="P122" s="12">
        <v>0.36249999999999999</v>
      </c>
      <c r="Q122" s="6">
        <f>P122*N122</f>
        <v>2.1749999999999998</v>
      </c>
      <c r="R122" s="5"/>
    </row>
    <row r="123" spans="1:18" x14ac:dyDescent="0.25">
      <c r="A123" s="1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11">
        <f t="shared" ref="M123:M124" si="106">L123*5</f>
        <v>5</v>
      </c>
      <c r="N123" s="11">
        <v>6</v>
      </c>
      <c r="O123" s="16" t="s">
        <v>467</v>
      </c>
      <c r="P123" s="12">
        <v>0.61419999999999997</v>
      </c>
      <c r="Q123" s="12">
        <f t="shared" ref="Q123:Q124" si="107">P123*N123</f>
        <v>3.6852</v>
      </c>
      <c r="R123" s="11"/>
    </row>
    <row r="124" spans="1:18" ht="48.75" thickBot="1" x14ac:dyDescent="0.3">
      <c r="A124" s="1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11">
        <f t="shared" si="106"/>
        <v>5</v>
      </c>
      <c r="N124" s="5">
        <v>5</v>
      </c>
      <c r="O124" s="16" t="s">
        <v>945</v>
      </c>
      <c r="P124" s="6">
        <v>15.4</v>
      </c>
      <c r="Q124" s="12">
        <f t="shared" si="107"/>
        <v>77</v>
      </c>
      <c r="R124" s="11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5" t="s">
        <v>1</v>
      </c>
      <c r="O125" s="26"/>
      <c r="P125" s="26"/>
      <c r="Q125" s="9">
        <f>SUM(Q100:Q124)</f>
        <v>98.563699999999997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5" t="s">
        <v>2</v>
      </c>
      <c r="O126" s="26"/>
      <c r="P126" s="26"/>
      <c r="Q126" s="10">
        <f>Q125/5</f>
        <v>19.71274</v>
      </c>
      <c r="R126" s="1"/>
    </row>
    <row r="127" spans="1:18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26.25" x14ac:dyDescent="0.25">
      <c r="A128" s="1"/>
      <c r="B128" s="2"/>
      <c r="C128" s="2"/>
      <c r="D128" s="22"/>
      <c r="E128" s="22"/>
      <c r="F128" s="22"/>
      <c r="G128" s="27" t="s">
        <v>581</v>
      </c>
      <c r="H128" s="27"/>
      <c r="I128" s="27"/>
      <c r="J128" s="22"/>
      <c r="K128" s="23"/>
      <c r="L128" s="23"/>
      <c r="M128" s="23"/>
      <c r="N128" s="23"/>
      <c r="O128" s="23"/>
      <c r="P128" s="23"/>
      <c r="Q128" s="23"/>
      <c r="R128" s="23"/>
    </row>
    <row r="129" spans="1:18" ht="15.75" thickBot="1" x14ac:dyDescent="0.3">
      <c r="A129" s="1"/>
      <c r="B129" s="2"/>
      <c r="C129" s="2"/>
      <c r="D129" s="22"/>
      <c r="E129" s="22"/>
      <c r="F129" s="22"/>
      <c r="G129" s="22"/>
      <c r="H129" s="22"/>
      <c r="I129" s="22"/>
      <c r="J129" s="22"/>
      <c r="K129" s="23"/>
      <c r="L129" s="23"/>
      <c r="M129" s="23"/>
      <c r="N129" s="23"/>
      <c r="O129" s="23"/>
      <c r="P129" s="23"/>
      <c r="Q129" s="23"/>
      <c r="R129" s="23"/>
    </row>
    <row r="130" spans="1:18" ht="15.75" thickBot="1" x14ac:dyDescent="0.3">
      <c r="A130" s="1"/>
      <c r="B130" s="4" t="s">
        <v>0</v>
      </c>
      <c r="C130" s="4" t="s">
        <v>3</v>
      </c>
      <c r="D130" s="4" t="s">
        <v>16</v>
      </c>
      <c r="E130" s="4" t="s">
        <v>106</v>
      </c>
      <c r="F130" s="4" t="s">
        <v>190</v>
      </c>
      <c r="G130" s="4" t="s">
        <v>220</v>
      </c>
      <c r="H130" s="4" t="s">
        <v>298</v>
      </c>
      <c r="I130" s="4" t="s">
        <v>459</v>
      </c>
      <c r="J130" s="4" t="s">
        <v>327</v>
      </c>
      <c r="K130" s="4" t="s">
        <v>460</v>
      </c>
      <c r="L130" s="4" t="s">
        <v>458</v>
      </c>
      <c r="M130" s="4" t="s">
        <v>461</v>
      </c>
      <c r="N130" s="4" t="s">
        <v>462</v>
      </c>
      <c r="O130" s="4" t="s">
        <v>463</v>
      </c>
      <c r="P130" s="4" t="s">
        <v>464</v>
      </c>
      <c r="Q130" s="4" t="s">
        <v>465</v>
      </c>
      <c r="R130" s="4" t="s">
        <v>466</v>
      </c>
    </row>
    <row r="131" spans="1:18" x14ac:dyDescent="0.25">
      <c r="A131" s="1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L131*5</f>
        <v>30</v>
      </c>
      <c r="N131" s="5">
        <v>100</v>
      </c>
      <c r="O131" s="16" t="s">
        <v>467</v>
      </c>
      <c r="P131" s="6">
        <v>4.8999999999999998E-3</v>
      </c>
      <c r="Q131" s="6">
        <f>P131*N131</f>
        <v>0.49</v>
      </c>
      <c r="R131" s="5"/>
    </row>
    <row r="132" spans="1:18" x14ac:dyDescent="0.25">
      <c r="A132" s="1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11">
        <f t="shared" ref="M132" si="108">L132*5</f>
        <v>30</v>
      </c>
      <c r="N132" s="11">
        <v>100</v>
      </c>
      <c r="O132" s="16" t="s">
        <v>467</v>
      </c>
      <c r="P132" s="12">
        <v>3.8999999999999998E-3</v>
      </c>
      <c r="Q132" s="12">
        <f t="shared" ref="Q132" si="109">P132*N132</f>
        <v>0.38999999999999996</v>
      </c>
      <c r="R132" s="11"/>
    </row>
    <row r="133" spans="1:18" ht="48" x14ac:dyDescent="0.25">
      <c r="A133" s="1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>L133*5</f>
        <v>115</v>
      </c>
      <c r="N133" s="5">
        <v>200</v>
      </c>
      <c r="O133" s="16" t="s">
        <v>467</v>
      </c>
      <c r="P133" s="6">
        <v>1E-3</v>
      </c>
      <c r="Q133" s="6">
        <f>P133*N133</f>
        <v>0.2</v>
      </c>
      <c r="R133" s="5"/>
    </row>
    <row r="134" spans="1:18" x14ac:dyDescent="0.25">
      <c r="A134" s="1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11">
        <f t="shared" ref="M134" si="110">L134*5</f>
        <v>25</v>
      </c>
      <c r="N134" s="11">
        <v>50</v>
      </c>
      <c r="O134" s="16" t="s">
        <v>467</v>
      </c>
      <c r="P134" s="12">
        <v>1.21E-2</v>
      </c>
      <c r="Q134" s="12">
        <f t="shared" ref="Q134" si="111">P134*N134</f>
        <v>0.60499999999999998</v>
      </c>
      <c r="R134" s="11"/>
    </row>
    <row r="135" spans="1:18" x14ac:dyDescent="0.25">
      <c r="A135" s="1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>L135*5</f>
        <v>20</v>
      </c>
      <c r="N135" s="11">
        <v>100</v>
      </c>
      <c r="O135" s="16" t="s">
        <v>467</v>
      </c>
      <c r="P135" s="12">
        <v>8.9999999999999998E-4</v>
      </c>
      <c r="Q135" s="6">
        <f>P135*N135</f>
        <v>0.09</v>
      </c>
      <c r="R135" s="5"/>
    </row>
    <row r="136" spans="1:18" x14ac:dyDescent="0.25">
      <c r="A136" s="1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>L136*5</f>
        <v>5</v>
      </c>
      <c r="N136" s="11">
        <v>100</v>
      </c>
      <c r="O136" s="16" t="s">
        <v>467</v>
      </c>
      <c r="P136" s="12">
        <v>5.4000000000000003E-3</v>
      </c>
      <c r="Q136" s="6">
        <f>P136*N136</f>
        <v>0.54</v>
      </c>
      <c r="R136" s="5"/>
    </row>
    <row r="137" spans="1:18" x14ac:dyDescent="0.25">
      <c r="A137" s="1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11">
        <f t="shared" ref="M137" si="112">L137*5</f>
        <v>10</v>
      </c>
      <c r="N137" s="11">
        <v>100</v>
      </c>
      <c r="O137" s="16" t="s">
        <v>467</v>
      </c>
      <c r="P137" s="12">
        <v>1E-3</v>
      </c>
      <c r="Q137" s="12">
        <f t="shared" ref="Q137" si="113">P137*N137</f>
        <v>0.1</v>
      </c>
      <c r="R137" s="11"/>
    </row>
    <row r="138" spans="1:18" x14ac:dyDescent="0.25">
      <c r="A138" s="1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>L138*5</f>
        <v>5</v>
      </c>
      <c r="N138" s="5">
        <v>6</v>
      </c>
      <c r="O138" s="16" t="s">
        <v>467</v>
      </c>
      <c r="P138" s="6">
        <v>1.3270999999999999</v>
      </c>
      <c r="Q138" s="6">
        <f>P138*N138</f>
        <v>7.9626000000000001</v>
      </c>
      <c r="R138" s="5"/>
    </row>
    <row r="139" spans="1:18" x14ac:dyDescent="0.25">
      <c r="A139" s="1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11">
        <f t="shared" ref="M139" si="114">L139*5</f>
        <v>20</v>
      </c>
      <c r="N139" s="11">
        <v>30</v>
      </c>
      <c r="O139" s="16" t="s">
        <v>467</v>
      </c>
      <c r="P139" s="12">
        <v>3.9300000000000002E-2</v>
      </c>
      <c r="Q139" s="12">
        <f t="shared" ref="Q139" si="115">P139*N139</f>
        <v>1.179</v>
      </c>
      <c r="R139" s="11"/>
    </row>
    <row r="140" spans="1:18" x14ac:dyDescent="0.25">
      <c r="A140" s="1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>L140*5</f>
        <v>5</v>
      </c>
      <c r="N140" s="5">
        <v>20</v>
      </c>
      <c r="O140" s="16" t="s">
        <v>467</v>
      </c>
      <c r="P140" s="6">
        <v>3.5900000000000001E-2</v>
      </c>
      <c r="Q140" s="6">
        <f>P140*N140</f>
        <v>0.71799999999999997</v>
      </c>
      <c r="R140" s="5"/>
    </row>
    <row r="141" spans="1:18" ht="36" x14ac:dyDescent="0.25">
      <c r="A141" s="1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11">
        <f t="shared" ref="M141" si="116">L141*5</f>
        <v>10</v>
      </c>
      <c r="N141" s="11">
        <v>100</v>
      </c>
      <c r="O141" s="16" t="s">
        <v>467</v>
      </c>
      <c r="P141" s="12">
        <v>5.5999999999999999E-3</v>
      </c>
      <c r="Q141" s="12">
        <f t="shared" ref="Q141" si="117">P141*N141</f>
        <v>0.55999999999999994</v>
      </c>
      <c r="R141" s="11"/>
    </row>
    <row r="142" spans="1:18" ht="24" x14ac:dyDescent="0.25">
      <c r="A142" s="1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>L142*5</f>
        <v>60</v>
      </c>
      <c r="N142" s="5">
        <v>80</v>
      </c>
      <c r="O142" s="16" t="s">
        <v>467</v>
      </c>
      <c r="P142" s="6">
        <v>2.23E-2</v>
      </c>
      <c r="Q142" s="6">
        <f>P142*N142</f>
        <v>1.784</v>
      </c>
      <c r="R142" s="5"/>
    </row>
    <row r="143" spans="1:18" x14ac:dyDescent="0.25">
      <c r="A143" s="1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11">
        <f t="shared" ref="M143" si="118">L143*5</f>
        <v>15</v>
      </c>
      <c r="N143" s="5">
        <v>20</v>
      </c>
      <c r="O143" s="16" t="s">
        <v>467</v>
      </c>
      <c r="P143" s="6">
        <v>0.14269999999999999</v>
      </c>
      <c r="Q143" s="12">
        <f t="shared" ref="Q143" si="119">P143*N143</f>
        <v>2.8540000000000001</v>
      </c>
      <c r="R143" s="11"/>
    </row>
    <row r="144" spans="1:18" x14ac:dyDescent="0.25">
      <c r="A144" s="1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>L144*5</f>
        <v>5</v>
      </c>
      <c r="N144" s="5">
        <v>10</v>
      </c>
      <c r="O144" s="16" t="s">
        <v>467</v>
      </c>
      <c r="P144" s="6">
        <v>0.13059999999999999</v>
      </c>
      <c r="Q144" s="6">
        <f>P144*N144</f>
        <v>1.306</v>
      </c>
      <c r="R144" s="5"/>
    </row>
    <row r="145" spans="1:18" ht="24" x14ac:dyDescent="0.25">
      <c r="A145" s="1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11">
        <f t="shared" ref="M145" si="120">L145*5</f>
        <v>10</v>
      </c>
      <c r="N145" s="5">
        <v>100</v>
      </c>
      <c r="O145" s="16" t="s">
        <v>467</v>
      </c>
      <c r="P145" s="6">
        <v>4.7000000000000002E-3</v>
      </c>
      <c r="Q145" s="12">
        <f t="shared" ref="Q145" si="121">P145*N145</f>
        <v>0.47000000000000003</v>
      </c>
      <c r="R145" s="11"/>
    </row>
    <row r="146" spans="1:18" x14ac:dyDescent="0.25">
      <c r="A146" s="1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>L146*5</f>
        <v>35</v>
      </c>
      <c r="N146" s="11">
        <v>40</v>
      </c>
      <c r="O146" s="16" t="s">
        <v>474</v>
      </c>
      <c r="P146" s="12">
        <v>6.3519999999999993E-2</v>
      </c>
      <c r="Q146" s="6">
        <f>P146*N146</f>
        <v>2.5407999999999999</v>
      </c>
      <c r="R146" s="5"/>
    </row>
    <row r="147" spans="1:18" ht="36" x14ac:dyDescent="0.25">
      <c r="A147" s="1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>L147*5</f>
        <v>5</v>
      </c>
      <c r="N147" s="5">
        <v>6</v>
      </c>
      <c r="O147" s="15" t="s">
        <v>651</v>
      </c>
      <c r="P147" s="6">
        <v>13.069800000000001</v>
      </c>
      <c r="Q147" s="6">
        <f>P147*N147</f>
        <v>78.418800000000005</v>
      </c>
      <c r="R147" s="5"/>
    </row>
    <row r="148" spans="1:18" x14ac:dyDescent="0.25">
      <c r="A148" s="1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11">
        <f t="shared" ref="M148" si="122">L148*5</f>
        <v>5</v>
      </c>
      <c r="N148" s="11">
        <v>6</v>
      </c>
      <c r="O148" s="16" t="s">
        <v>467</v>
      </c>
      <c r="P148" s="12">
        <v>1.5605</v>
      </c>
      <c r="Q148" s="12">
        <f t="shared" ref="Q148" si="123">P148*N148</f>
        <v>9.3629999999999995</v>
      </c>
      <c r="R148" s="11"/>
    </row>
    <row r="149" spans="1:18" x14ac:dyDescent="0.25">
      <c r="A149" s="1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>L149*5</f>
        <v>5</v>
      </c>
      <c r="N149" s="5">
        <v>6</v>
      </c>
      <c r="O149" s="16" t="s">
        <v>467</v>
      </c>
      <c r="P149" s="6">
        <v>0.37419999999999998</v>
      </c>
      <c r="Q149" s="6">
        <f>P149*N149</f>
        <v>2.2451999999999996</v>
      </c>
      <c r="R149" s="5"/>
    </row>
    <row r="150" spans="1:18" ht="24" x14ac:dyDescent="0.25">
      <c r="A150" s="1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11">
        <f t="shared" ref="M150" si="124">L150*5</f>
        <v>10</v>
      </c>
      <c r="N150" s="11">
        <v>11</v>
      </c>
      <c r="O150" s="16" t="s">
        <v>651</v>
      </c>
      <c r="P150" s="12">
        <v>4.0247999999999999</v>
      </c>
      <c r="Q150" s="12">
        <f t="shared" ref="Q150" si="125">P150*N150</f>
        <v>44.272799999999997</v>
      </c>
      <c r="R150" s="11"/>
    </row>
    <row r="151" spans="1:18" x14ac:dyDescent="0.25">
      <c r="A151" s="1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>L151*5</f>
        <v>20</v>
      </c>
      <c r="N151" s="5">
        <v>40</v>
      </c>
      <c r="O151" s="16" t="s">
        <v>467</v>
      </c>
      <c r="P151" s="6">
        <v>2.9100000000000001E-2</v>
      </c>
      <c r="Q151" s="6">
        <f>P151*N151</f>
        <v>1.1640000000000001</v>
      </c>
      <c r="R151" s="5"/>
    </row>
    <row r="152" spans="1:18" x14ac:dyDescent="0.25">
      <c r="A152" s="1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11">
        <f t="shared" ref="M152" si="126">L152*5</f>
        <v>10</v>
      </c>
      <c r="N152" s="11">
        <v>15</v>
      </c>
      <c r="O152" s="16" t="s">
        <v>467</v>
      </c>
      <c r="P152" s="12">
        <v>0.23430000000000001</v>
      </c>
      <c r="Q152" s="12">
        <f t="shared" ref="Q152" si="127">P152*N152</f>
        <v>3.5145</v>
      </c>
      <c r="R152" s="11"/>
    </row>
    <row r="153" spans="1:18" x14ac:dyDescent="0.25">
      <c r="A153" s="1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>L153*5</f>
        <v>20</v>
      </c>
      <c r="N153" s="5">
        <v>100</v>
      </c>
      <c r="O153" s="16" t="s">
        <v>467</v>
      </c>
      <c r="P153" s="6">
        <v>5.9999999999999995E-4</v>
      </c>
      <c r="Q153" s="6">
        <f>P153*N153</f>
        <v>0.06</v>
      </c>
      <c r="R153" s="5"/>
    </row>
    <row r="154" spans="1:18" x14ac:dyDescent="0.25">
      <c r="A154" s="1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11">
        <f t="shared" ref="M154" si="128">L154*5</f>
        <v>5</v>
      </c>
      <c r="N154" s="5">
        <v>100</v>
      </c>
      <c r="O154" s="16" t="s">
        <v>467</v>
      </c>
      <c r="P154" s="6">
        <v>5.0000000000000001E-4</v>
      </c>
      <c r="Q154" s="12">
        <f t="shared" ref="Q154" si="129">P154*N154</f>
        <v>0.05</v>
      </c>
      <c r="R154" s="11"/>
    </row>
    <row r="155" spans="1:18" ht="24" x14ac:dyDescent="0.25">
      <c r="A155" s="1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>L155*5</f>
        <v>40</v>
      </c>
      <c r="N155" s="11">
        <v>100</v>
      </c>
      <c r="O155" s="16" t="s">
        <v>467</v>
      </c>
      <c r="P155" s="12">
        <v>5.9999999999999995E-4</v>
      </c>
      <c r="Q155" s="6">
        <f>P155*N155</f>
        <v>0.06</v>
      </c>
      <c r="R155" s="5"/>
    </row>
    <row r="156" spans="1:18" x14ac:dyDescent="0.25">
      <c r="A156" s="1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11">
        <f t="shared" ref="M156" si="130">L156*5</f>
        <v>5</v>
      </c>
      <c r="N156" s="11">
        <v>100</v>
      </c>
      <c r="O156" s="16" t="s">
        <v>467</v>
      </c>
      <c r="P156" s="12">
        <v>6.9999999999999999E-4</v>
      </c>
      <c r="Q156" s="12">
        <f t="shared" ref="Q156" si="131">P156*N156</f>
        <v>6.9999999999999993E-2</v>
      </c>
      <c r="R156" s="11"/>
    </row>
    <row r="157" spans="1:18" x14ac:dyDescent="0.25">
      <c r="A157" s="1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>L157*5</f>
        <v>5</v>
      </c>
      <c r="N157" s="5">
        <v>100</v>
      </c>
      <c r="O157" s="16" t="s">
        <v>467</v>
      </c>
      <c r="P157" s="6">
        <v>5.9999999999999995E-4</v>
      </c>
      <c r="Q157" s="6">
        <f>P157*N157</f>
        <v>0.06</v>
      </c>
      <c r="R157" s="5"/>
    </row>
    <row r="158" spans="1:18" ht="60" x14ac:dyDescent="0.25">
      <c r="A158" s="1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11">
        <f t="shared" ref="M158" si="132">L158*5</f>
        <v>120</v>
      </c>
      <c r="N158" s="11">
        <v>200</v>
      </c>
      <c r="O158" s="16" t="s">
        <v>467</v>
      </c>
      <c r="P158" s="12">
        <v>5.9999999999999995E-4</v>
      </c>
      <c r="Q158" s="12">
        <f t="shared" ref="Q158" si="133">P158*N158</f>
        <v>0.12</v>
      </c>
      <c r="R158" s="11"/>
    </row>
    <row r="159" spans="1:18" x14ac:dyDescent="0.25">
      <c r="A159" s="1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>L159*5</f>
        <v>20</v>
      </c>
      <c r="N159" s="11">
        <v>100</v>
      </c>
      <c r="O159" s="16" t="s">
        <v>467</v>
      </c>
      <c r="P159" s="12">
        <v>6.9999999999999999E-4</v>
      </c>
      <c r="Q159" s="6">
        <f>P159*N159</f>
        <v>6.9999999999999993E-2</v>
      </c>
      <c r="R159" s="5"/>
    </row>
    <row r="160" spans="1:18" x14ac:dyDescent="0.25">
      <c r="A160" s="1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11">
        <f t="shared" ref="M160" si="134">L160*5</f>
        <v>30</v>
      </c>
      <c r="N160" s="5">
        <v>100</v>
      </c>
      <c r="O160" s="16" t="s">
        <v>467</v>
      </c>
      <c r="P160" s="6">
        <v>6.9999999999999999E-4</v>
      </c>
      <c r="Q160" s="12">
        <f t="shared" ref="Q160" si="135">P160*N160</f>
        <v>6.9999999999999993E-2</v>
      </c>
      <c r="R160" s="11"/>
    </row>
    <row r="161" spans="1:18" x14ac:dyDescent="0.25">
      <c r="A161" s="1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17">
        <f>L161*5</f>
        <v>5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ht="36" x14ac:dyDescent="0.25">
      <c r="A162" s="1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11">
        <f t="shared" ref="M162" si="136">L162*5</f>
        <v>60</v>
      </c>
      <c r="N162" s="5">
        <v>100</v>
      </c>
      <c r="O162" s="16" t="s">
        <v>467</v>
      </c>
      <c r="P162" s="6">
        <v>5.9999999999999995E-4</v>
      </c>
      <c r="Q162" s="12">
        <f t="shared" ref="Q162" si="137">P162*N162</f>
        <v>0.06</v>
      </c>
      <c r="R162" s="11"/>
    </row>
    <row r="163" spans="1:18" x14ac:dyDescent="0.25">
      <c r="A163" s="1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>L163*5</f>
        <v>10</v>
      </c>
      <c r="N163" s="11">
        <v>100</v>
      </c>
      <c r="O163" s="16" t="s">
        <v>467</v>
      </c>
      <c r="P163" s="12">
        <v>1.1999999999999999E-3</v>
      </c>
      <c r="Q163" s="6">
        <f>P163*N163</f>
        <v>0.12</v>
      </c>
      <c r="R163" s="5"/>
    </row>
    <row r="164" spans="1:18" x14ac:dyDescent="0.25">
      <c r="A164" s="1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11">
        <f t="shared" ref="M164" si="138">L164*5</f>
        <v>20</v>
      </c>
      <c r="N164" s="5">
        <v>50</v>
      </c>
      <c r="O164" s="16" t="s">
        <v>467</v>
      </c>
      <c r="P164" s="6">
        <v>2.0199999999999999E-2</v>
      </c>
      <c r="Q164" s="12">
        <f t="shared" ref="Q164" si="139">P164*N164</f>
        <v>1.01</v>
      </c>
      <c r="R164" s="11"/>
    </row>
    <row r="165" spans="1:18" x14ac:dyDescent="0.25">
      <c r="A165" s="1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>L165*5</f>
        <v>5</v>
      </c>
      <c r="N165" s="11">
        <v>20</v>
      </c>
      <c r="O165" s="16" t="s">
        <v>467</v>
      </c>
      <c r="P165" s="12">
        <v>2.0899999999999998E-2</v>
      </c>
      <c r="Q165" s="6">
        <f>P165*N165</f>
        <v>0.41799999999999998</v>
      </c>
      <c r="R165" s="5"/>
    </row>
    <row r="166" spans="1:18" x14ac:dyDescent="0.25">
      <c r="A166" s="1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11">
        <f t="shared" ref="M166" si="140">L166*5</f>
        <v>10</v>
      </c>
      <c r="N166" s="5">
        <v>15</v>
      </c>
      <c r="O166" s="16" t="s">
        <v>467</v>
      </c>
      <c r="P166" s="6">
        <v>8.4599999999999995E-2</v>
      </c>
      <c r="Q166" s="12">
        <f t="shared" ref="Q166" si="141">P166*N166</f>
        <v>1.2689999999999999</v>
      </c>
      <c r="R166" s="11"/>
    </row>
    <row r="167" spans="1:18" ht="36" x14ac:dyDescent="0.25">
      <c r="A167" s="1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17">
        <f>L167*5</f>
        <v>5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x14ac:dyDescent="0.25">
      <c r="A168" s="1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17">
        <f t="shared" ref="M168" si="142">L168*5</f>
        <v>5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ht="36" x14ac:dyDescent="0.25">
      <c r="A169" s="1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>L169*5</f>
        <v>5</v>
      </c>
      <c r="N169" s="5">
        <v>100</v>
      </c>
      <c r="O169" s="16" t="s">
        <v>467</v>
      </c>
      <c r="P169" s="6">
        <v>1E-3</v>
      </c>
      <c r="Q169" s="6">
        <f>P169*N169</f>
        <v>0.1</v>
      </c>
      <c r="R169" s="5"/>
    </row>
    <row r="170" spans="1:18" x14ac:dyDescent="0.25">
      <c r="A170" s="1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11">
        <f t="shared" ref="M170" si="143">L170*5</f>
        <v>5</v>
      </c>
      <c r="N170" s="11">
        <v>100</v>
      </c>
      <c r="O170" s="16" t="s">
        <v>467</v>
      </c>
      <c r="P170" s="12">
        <v>1.1999999999999999E-3</v>
      </c>
      <c r="Q170" s="12">
        <f t="shared" ref="Q170" si="144">P170*N170</f>
        <v>0.12</v>
      </c>
      <c r="R170" s="11"/>
    </row>
    <row r="171" spans="1:18" x14ac:dyDescent="0.25">
      <c r="A171" s="1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>L171*5</f>
        <v>25</v>
      </c>
      <c r="N171" s="11">
        <v>100</v>
      </c>
      <c r="O171" s="16" t="s">
        <v>467</v>
      </c>
      <c r="P171" s="12">
        <v>1.1999999999999999E-3</v>
      </c>
      <c r="Q171" s="6">
        <f>P171*N171</f>
        <v>0.12</v>
      </c>
      <c r="R171" s="5"/>
    </row>
    <row r="172" spans="1:18" x14ac:dyDescent="0.25">
      <c r="A172" s="1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11">
        <f t="shared" ref="M172" si="145">L172*5</f>
        <v>5</v>
      </c>
      <c r="N172" s="5">
        <v>100</v>
      </c>
      <c r="O172" s="16" t="s">
        <v>467</v>
      </c>
      <c r="P172" s="6">
        <v>2E-3</v>
      </c>
      <c r="Q172" s="12">
        <f t="shared" ref="Q172" si="146">P172*N172</f>
        <v>0.2</v>
      </c>
      <c r="R172" s="11"/>
    </row>
    <row r="173" spans="1:18" x14ac:dyDescent="0.25">
      <c r="A173" s="1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>L173*5</f>
        <v>5</v>
      </c>
      <c r="N173" s="11">
        <v>20</v>
      </c>
      <c r="O173" s="16" t="s">
        <v>467</v>
      </c>
      <c r="P173" s="12">
        <v>2.4199999999999999E-2</v>
      </c>
      <c r="Q173" s="6">
        <f>P173*N173</f>
        <v>0.48399999999999999</v>
      </c>
      <c r="R173" s="5"/>
    </row>
    <row r="174" spans="1:18" x14ac:dyDescent="0.25">
      <c r="A174" s="1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11">
        <f t="shared" ref="M174" si="147">L174*5</f>
        <v>5</v>
      </c>
      <c r="N174" s="5">
        <v>10</v>
      </c>
      <c r="O174" s="16" t="s">
        <v>467</v>
      </c>
      <c r="P174" s="6">
        <v>0.30790000000000001</v>
      </c>
      <c r="Q174" s="12">
        <f t="shared" ref="Q174" si="148">P174*N174</f>
        <v>3.0790000000000002</v>
      </c>
      <c r="R174" s="11"/>
    </row>
    <row r="175" spans="1:18" x14ac:dyDescent="0.25">
      <c r="A175" s="1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>L175*5</f>
        <v>5</v>
      </c>
      <c r="N175" s="11">
        <v>100</v>
      </c>
      <c r="O175" s="16" t="s">
        <v>467</v>
      </c>
      <c r="P175" s="12">
        <v>1E-3</v>
      </c>
      <c r="Q175" s="6">
        <f>P175*N175</f>
        <v>0.1</v>
      </c>
      <c r="R175" s="5"/>
    </row>
    <row r="176" spans="1:18" x14ac:dyDescent="0.25">
      <c r="A176" s="1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11">
        <f t="shared" ref="M176" si="149">L176*5</f>
        <v>5</v>
      </c>
      <c r="N176" s="11">
        <v>100</v>
      </c>
      <c r="O176" s="16" t="s">
        <v>467</v>
      </c>
      <c r="P176" s="12">
        <v>5.9999999999999995E-4</v>
      </c>
      <c r="Q176" s="12">
        <f t="shared" ref="Q176" si="150">P176*N176</f>
        <v>0.06</v>
      </c>
      <c r="R176" s="11"/>
    </row>
    <row r="177" spans="1:18" x14ac:dyDescent="0.25">
      <c r="A177" s="1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>L177*5</f>
        <v>5</v>
      </c>
      <c r="N177" s="5">
        <v>6</v>
      </c>
      <c r="O177" s="15" t="s">
        <v>651</v>
      </c>
      <c r="P177" s="6">
        <v>10.472</v>
      </c>
      <c r="Q177" s="6">
        <f>P177*N177</f>
        <v>62.831999999999994</v>
      </c>
      <c r="R177" s="5"/>
    </row>
    <row r="178" spans="1:18" x14ac:dyDescent="0.25">
      <c r="A178" s="1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11">
        <f t="shared" ref="M178" si="151">L178*5</f>
        <v>5</v>
      </c>
      <c r="N178" s="5">
        <v>6</v>
      </c>
      <c r="O178" s="16" t="s">
        <v>467</v>
      </c>
      <c r="P178" s="6">
        <v>2.5442</v>
      </c>
      <c r="Q178" s="12">
        <f t="shared" ref="Q178" si="152">P178*N178</f>
        <v>15.2652</v>
      </c>
      <c r="R178" s="11"/>
    </row>
    <row r="179" spans="1:18" x14ac:dyDescent="0.25">
      <c r="A179" s="1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>L179*5</f>
        <v>5</v>
      </c>
      <c r="N179" s="5">
        <v>6</v>
      </c>
      <c r="O179" s="15" t="s">
        <v>787</v>
      </c>
      <c r="P179" s="6">
        <v>9.81</v>
      </c>
      <c r="Q179" s="6">
        <f>P179*N179</f>
        <v>58.86</v>
      </c>
      <c r="R179" s="5"/>
    </row>
    <row r="180" spans="1:18" x14ac:dyDescent="0.25">
      <c r="A180" s="1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11">
        <f t="shared" ref="M180" si="153">L180*5</f>
        <v>5</v>
      </c>
      <c r="N180" s="5">
        <v>6</v>
      </c>
      <c r="O180" s="16" t="s">
        <v>467</v>
      </c>
      <c r="P180" s="6">
        <v>2.9321000000000002</v>
      </c>
      <c r="Q180" s="12">
        <f t="shared" ref="Q180" si="154">P180*N180</f>
        <v>17.592600000000001</v>
      </c>
      <c r="R180" s="11"/>
    </row>
    <row r="181" spans="1:18" ht="15.75" thickBot="1" x14ac:dyDescent="0.3">
      <c r="A181" s="1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>L181*5</f>
        <v>5</v>
      </c>
      <c r="N181" s="5">
        <v>10</v>
      </c>
      <c r="O181" s="16" t="s">
        <v>467</v>
      </c>
      <c r="P181" s="6">
        <v>0.25950000000000001</v>
      </c>
      <c r="Q181" s="6">
        <f>P181*N181</f>
        <v>2.5950000000000002</v>
      </c>
      <c r="R181" s="5"/>
    </row>
    <row r="182" spans="1:18" ht="19.5" thickBo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5" t="s">
        <v>1</v>
      </c>
      <c r="O182" s="26"/>
      <c r="P182" s="26"/>
      <c r="Q182" s="9">
        <f>SUM(Q131:Q181)</f>
        <v>325.61250000000001</v>
      </c>
      <c r="R182" s="1"/>
    </row>
    <row r="183" spans="1:18" ht="19.5" thickBo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5" t="s">
        <v>2</v>
      </c>
      <c r="O183" s="26"/>
      <c r="P183" s="26"/>
      <c r="Q183" s="10">
        <f>Q182/5</f>
        <v>65.122500000000002</v>
      </c>
      <c r="R183" s="1"/>
    </row>
    <row r="184" spans="1:18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26.25" x14ac:dyDescent="0.25">
      <c r="A185" s="1"/>
      <c r="B185" s="2"/>
      <c r="C185" s="2"/>
      <c r="D185" s="22"/>
      <c r="E185" s="22"/>
      <c r="F185" s="22"/>
      <c r="G185" s="27" t="s">
        <v>794</v>
      </c>
      <c r="H185" s="27"/>
      <c r="I185" s="27"/>
      <c r="J185" s="22"/>
      <c r="K185" s="23"/>
      <c r="L185" s="23"/>
      <c r="M185" s="23"/>
      <c r="N185" s="23"/>
      <c r="O185" s="23"/>
      <c r="P185" s="23"/>
      <c r="Q185" s="23"/>
      <c r="R185" s="23"/>
    </row>
    <row r="186" spans="1:18" ht="15.75" thickBot="1" x14ac:dyDescent="0.3">
      <c r="A186" s="1"/>
      <c r="B186" s="2"/>
      <c r="C186" s="2"/>
      <c r="D186" s="22"/>
      <c r="E186" s="22"/>
      <c r="F186" s="22"/>
      <c r="G186" s="22"/>
      <c r="H186" s="22"/>
      <c r="I186" s="22"/>
      <c r="J186" s="22"/>
      <c r="K186" s="23"/>
      <c r="L186" s="23"/>
      <c r="M186" s="23"/>
      <c r="N186" s="23"/>
      <c r="O186" s="23"/>
      <c r="P186" s="23"/>
      <c r="Q186" s="23"/>
      <c r="R186" s="23"/>
    </row>
    <row r="187" spans="1:18" ht="15.75" thickBot="1" x14ac:dyDescent="0.3">
      <c r="A187" s="1"/>
      <c r="B187" s="4" t="s">
        <v>0</v>
      </c>
      <c r="C187" s="4" t="s">
        <v>3</v>
      </c>
      <c r="D187" s="4" t="s">
        <v>16</v>
      </c>
      <c r="E187" s="4" t="s">
        <v>106</v>
      </c>
      <c r="F187" s="4" t="s">
        <v>190</v>
      </c>
      <c r="G187" s="4" t="s">
        <v>220</v>
      </c>
      <c r="H187" s="4" t="s">
        <v>298</v>
      </c>
      <c r="I187" s="4" t="s">
        <v>459</v>
      </c>
      <c r="J187" s="4" t="s">
        <v>327</v>
      </c>
      <c r="K187" s="4" t="s">
        <v>460</v>
      </c>
      <c r="L187" s="4" t="s">
        <v>458</v>
      </c>
      <c r="M187" s="4" t="s">
        <v>461</v>
      </c>
      <c r="N187" s="4" t="s">
        <v>462</v>
      </c>
      <c r="O187" s="4" t="s">
        <v>463</v>
      </c>
      <c r="P187" s="4" t="s">
        <v>464</v>
      </c>
      <c r="Q187" s="4" t="s">
        <v>465</v>
      </c>
      <c r="R187" s="4" t="s">
        <v>466</v>
      </c>
    </row>
    <row r="188" spans="1:18" ht="24" x14ac:dyDescent="0.25">
      <c r="A188" s="1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L188*5</f>
        <v>60</v>
      </c>
      <c r="N188" s="5">
        <v>100</v>
      </c>
      <c r="O188" s="16" t="s">
        <v>467</v>
      </c>
      <c r="P188" s="6">
        <v>1.1000000000000001E-3</v>
      </c>
      <c r="Q188" s="6">
        <f>P188*N188</f>
        <v>0.11</v>
      </c>
      <c r="R188" s="5"/>
    </row>
    <row r="189" spans="1:18" x14ac:dyDescent="0.25">
      <c r="A189" s="1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11">
        <f t="shared" ref="M189" si="155">L189*5</f>
        <v>20</v>
      </c>
      <c r="N189" s="5">
        <v>40</v>
      </c>
      <c r="O189" s="15" t="s">
        <v>467</v>
      </c>
      <c r="P189" s="6">
        <v>2.7099999999999999E-2</v>
      </c>
      <c r="Q189" s="12">
        <f t="shared" ref="Q189" si="156">P189*N189</f>
        <v>1.0840000000000001</v>
      </c>
      <c r="R189" s="11"/>
    </row>
    <row r="190" spans="1:18" x14ac:dyDescent="0.25">
      <c r="A190" s="1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>L190*5</f>
        <v>20</v>
      </c>
      <c r="N190" s="5">
        <v>100</v>
      </c>
      <c r="O190" s="16" t="s">
        <v>467</v>
      </c>
      <c r="P190" s="6">
        <v>1E-3</v>
      </c>
      <c r="Q190" s="6">
        <f>P190*N190</f>
        <v>0.1</v>
      </c>
      <c r="R190" s="5"/>
    </row>
    <row r="191" spans="1:18" ht="24" x14ac:dyDescent="0.25">
      <c r="A191" s="1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11">
        <f t="shared" ref="M191" si="157">L191*5</f>
        <v>10</v>
      </c>
      <c r="N191" s="11">
        <v>50</v>
      </c>
      <c r="O191" s="16" t="s">
        <v>467</v>
      </c>
      <c r="P191" s="12">
        <v>8.9999999999999993E-3</v>
      </c>
      <c r="Q191" s="12">
        <f t="shared" ref="Q191" si="158">P191*N191</f>
        <v>0.44999999999999996</v>
      </c>
      <c r="R191" s="11"/>
    </row>
    <row r="192" spans="1:18" x14ac:dyDescent="0.25">
      <c r="A192" s="1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>L192*5</f>
        <v>10</v>
      </c>
      <c r="N192" s="11">
        <v>11</v>
      </c>
      <c r="O192" s="16" t="s">
        <v>467</v>
      </c>
      <c r="P192" s="12">
        <v>0.46650000000000003</v>
      </c>
      <c r="Q192" s="6">
        <f>P192*N192</f>
        <v>5.1315</v>
      </c>
      <c r="R192" s="5"/>
    </row>
    <row r="193" spans="1:18" x14ac:dyDescent="0.25">
      <c r="A193" s="1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11">
        <f t="shared" ref="M193" si="159">L193*5</f>
        <v>5</v>
      </c>
      <c r="N193" s="11">
        <v>10</v>
      </c>
      <c r="O193" s="16" t="s">
        <v>467</v>
      </c>
      <c r="P193" s="12">
        <v>0.34749999999999998</v>
      </c>
      <c r="Q193" s="12">
        <f t="shared" ref="Q193" si="160">P193*N193</f>
        <v>3.4749999999999996</v>
      </c>
      <c r="R193" s="11"/>
    </row>
    <row r="194" spans="1:18" x14ac:dyDescent="0.25">
      <c r="A194" s="1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>L194*5</f>
        <v>5</v>
      </c>
      <c r="N194" s="5">
        <v>10</v>
      </c>
      <c r="O194" s="16" t="s">
        <v>467</v>
      </c>
      <c r="P194" s="6">
        <v>0.23949999999999999</v>
      </c>
      <c r="Q194" s="6">
        <f>P194*N194</f>
        <v>2.395</v>
      </c>
      <c r="R194" s="5"/>
    </row>
    <row r="195" spans="1:18" x14ac:dyDescent="0.25">
      <c r="A195" s="1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11">
        <f t="shared" ref="M195" si="161">L195*5</f>
        <v>10</v>
      </c>
      <c r="N195" s="5">
        <v>20</v>
      </c>
      <c r="O195" s="16" t="s">
        <v>467</v>
      </c>
      <c r="P195" s="6">
        <v>2.23E-2</v>
      </c>
      <c r="Q195" s="12">
        <f t="shared" ref="Q195" si="162">P195*N195</f>
        <v>0.44600000000000001</v>
      </c>
      <c r="R195" s="11"/>
    </row>
    <row r="196" spans="1:18" x14ac:dyDescent="0.25">
      <c r="A196" s="1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>L196*5</f>
        <v>10</v>
      </c>
      <c r="N196" s="11">
        <v>100</v>
      </c>
      <c r="O196" s="16" t="s">
        <v>467</v>
      </c>
      <c r="P196" s="12">
        <v>5.9999999999999995E-4</v>
      </c>
      <c r="Q196" s="6">
        <f>P196*N196</f>
        <v>0.06</v>
      </c>
      <c r="R196" s="5"/>
    </row>
    <row r="197" spans="1:18" x14ac:dyDescent="0.25">
      <c r="A197" s="1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11">
        <f t="shared" ref="M197" si="163">L197*5</f>
        <v>5</v>
      </c>
      <c r="N197" s="11">
        <v>100</v>
      </c>
      <c r="O197" s="16" t="s">
        <v>467</v>
      </c>
      <c r="P197" s="12">
        <v>5.9999999999999995E-4</v>
      </c>
      <c r="Q197" s="12">
        <f t="shared" ref="Q197" si="164">P197*N197</f>
        <v>0.06</v>
      </c>
      <c r="R197" s="11"/>
    </row>
    <row r="198" spans="1:18" x14ac:dyDescent="0.25">
      <c r="A198" s="1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>L198*5</f>
        <v>20</v>
      </c>
      <c r="N198" s="5">
        <v>100</v>
      </c>
      <c r="O198" s="16" t="s">
        <v>467</v>
      </c>
      <c r="P198" s="6">
        <v>5.9999999999999995E-4</v>
      </c>
      <c r="Q198" s="6">
        <f>P198*N198</f>
        <v>0.06</v>
      </c>
      <c r="R198" s="5"/>
    </row>
    <row r="199" spans="1:18" ht="24" x14ac:dyDescent="0.25">
      <c r="A199" s="1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11">
        <f t="shared" ref="M199" si="165">L199*5</f>
        <v>5</v>
      </c>
      <c r="N199" s="5">
        <v>6</v>
      </c>
      <c r="O199" s="16" t="s">
        <v>467</v>
      </c>
      <c r="P199" s="6">
        <v>9.8475000000000001</v>
      </c>
      <c r="Q199" s="12">
        <f t="shared" ref="Q199" si="166">P199*N199</f>
        <v>59.085000000000001</v>
      </c>
      <c r="R199" s="11"/>
    </row>
    <row r="200" spans="1:18" ht="24" x14ac:dyDescent="0.25">
      <c r="A200" s="1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>L200*5</f>
        <v>10</v>
      </c>
      <c r="N200" s="5">
        <v>15</v>
      </c>
      <c r="O200" s="16" t="s">
        <v>467</v>
      </c>
      <c r="P200" s="6">
        <v>9.1899999999999996E-2</v>
      </c>
      <c r="Q200" s="6">
        <f>P200*N200</f>
        <v>1.3784999999999998</v>
      </c>
      <c r="R200" s="5"/>
    </row>
    <row r="201" spans="1:18" ht="30.75" thickBot="1" x14ac:dyDescent="0.3">
      <c r="A201" s="1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11">
        <f t="shared" ref="M201" si="167">L201*5</f>
        <v>10</v>
      </c>
      <c r="N201" s="5">
        <v>10</v>
      </c>
      <c r="O201" s="16" t="s">
        <v>941</v>
      </c>
      <c r="P201" s="6">
        <v>30</v>
      </c>
      <c r="Q201" s="12">
        <f t="shared" ref="Q201" si="168">P201*N201</f>
        <v>300</v>
      </c>
      <c r="R201" s="24"/>
    </row>
    <row r="202" spans="1:18" ht="19.5" thickBo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5" t="s">
        <v>1</v>
      </c>
      <c r="O202" s="26"/>
      <c r="P202" s="26"/>
      <c r="Q202" s="9">
        <f>SUM(Q188:Q201)</f>
        <v>373.83500000000004</v>
      </c>
      <c r="R202" s="1"/>
    </row>
    <row r="203" spans="1:18" ht="19.5" thickBo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5" t="s">
        <v>2</v>
      </c>
      <c r="O203" s="26"/>
      <c r="P203" s="26"/>
      <c r="Q203" s="10">
        <f>Q202/5</f>
        <v>74.76700000000001</v>
      </c>
      <c r="R203" s="1"/>
    </row>
    <row r="204" spans="1:18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26.25" x14ac:dyDescent="0.25">
      <c r="A205" s="1"/>
      <c r="B205" s="2"/>
      <c r="C205" s="2"/>
      <c r="D205" s="22"/>
      <c r="E205" s="22"/>
      <c r="F205" s="22"/>
      <c r="G205" s="27" t="s">
        <v>852</v>
      </c>
      <c r="H205" s="27"/>
      <c r="I205" s="27"/>
      <c r="J205" s="22"/>
      <c r="K205" s="23"/>
      <c r="L205" s="23"/>
      <c r="M205" s="23"/>
      <c r="N205" s="23"/>
      <c r="O205" s="23"/>
      <c r="P205" s="23"/>
      <c r="Q205" s="23"/>
      <c r="R205" s="23"/>
    </row>
    <row r="206" spans="1:18" ht="15.75" thickBot="1" x14ac:dyDescent="0.3">
      <c r="A206" s="1"/>
      <c r="B206" s="2"/>
      <c r="C206" s="2"/>
      <c r="D206" s="22"/>
      <c r="E206" s="22"/>
      <c r="F206" s="22"/>
      <c r="G206" s="22"/>
      <c r="H206" s="22"/>
      <c r="I206" s="22"/>
      <c r="J206" s="22"/>
      <c r="K206" s="23"/>
      <c r="L206" s="23"/>
      <c r="M206" s="23"/>
      <c r="N206" s="23"/>
      <c r="O206" s="23"/>
      <c r="P206" s="23"/>
      <c r="Q206" s="23"/>
      <c r="R206" s="23"/>
    </row>
    <row r="207" spans="1:18" ht="15.75" thickBot="1" x14ac:dyDescent="0.3">
      <c r="A207" s="1"/>
      <c r="B207" s="4" t="s">
        <v>0</v>
      </c>
      <c r="C207" s="4" t="s">
        <v>3</v>
      </c>
      <c r="D207" s="4" t="s">
        <v>16</v>
      </c>
      <c r="E207" s="4" t="s">
        <v>106</v>
      </c>
      <c r="F207" s="4" t="s">
        <v>190</v>
      </c>
      <c r="G207" s="4" t="s">
        <v>220</v>
      </c>
      <c r="H207" s="4" t="s">
        <v>298</v>
      </c>
      <c r="I207" s="4" t="s">
        <v>459</v>
      </c>
      <c r="J207" s="4" t="s">
        <v>327</v>
      </c>
      <c r="K207" s="4" t="s">
        <v>460</v>
      </c>
      <c r="L207" s="4" t="s">
        <v>458</v>
      </c>
      <c r="M207" s="4" t="s">
        <v>461</v>
      </c>
      <c r="N207" s="4" t="s">
        <v>462</v>
      </c>
      <c r="O207" s="4" t="s">
        <v>463</v>
      </c>
      <c r="P207" s="4" t="s">
        <v>464</v>
      </c>
      <c r="Q207" s="4" t="s">
        <v>465</v>
      </c>
      <c r="R207" s="4" t="s">
        <v>466</v>
      </c>
    </row>
    <row r="208" spans="1:18" x14ac:dyDescent="0.25">
      <c r="A208" s="1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L208*5</f>
        <v>15</v>
      </c>
      <c r="N208" s="5">
        <v>100</v>
      </c>
      <c r="O208" s="16" t="s">
        <v>467</v>
      </c>
      <c r="P208" s="6">
        <v>2.5999999999999999E-3</v>
      </c>
      <c r="Q208" s="6">
        <f>P208*N208</f>
        <v>0.26</v>
      </c>
      <c r="R208" s="5"/>
    </row>
    <row r="209" spans="1:18" x14ac:dyDescent="0.25">
      <c r="A209" s="1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11">
        <f t="shared" ref="M209" si="169">L209*5</f>
        <v>20</v>
      </c>
      <c r="N209" s="5">
        <v>100</v>
      </c>
      <c r="O209" s="16" t="s">
        <v>467</v>
      </c>
      <c r="P209" s="6">
        <v>1.1000000000000001E-3</v>
      </c>
      <c r="Q209" s="12">
        <f t="shared" ref="Q209" si="170">P209*N209</f>
        <v>0.11</v>
      </c>
      <c r="R209" s="11"/>
    </row>
    <row r="210" spans="1:18" x14ac:dyDescent="0.25">
      <c r="A210" s="1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>L210*5</f>
        <v>5</v>
      </c>
      <c r="N210" s="11">
        <v>20</v>
      </c>
      <c r="O210" s="16" t="s">
        <v>467</v>
      </c>
      <c r="P210" s="12">
        <v>2.81E-2</v>
      </c>
      <c r="Q210" s="6">
        <f>P210*N210</f>
        <v>0.56200000000000006</v>
      </c>
      <c r="R210" s="5"/>
    </row>
    <row r="211" spans="1:18" x14ac:dyDescent="0.25">
      <c r="A211" s="1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11">
        <f t="shared" ref="M211" si="171">L211*5</f>
        <v>5</v>
      </c>
      <c r="N211" s="5">
        <v>10</v>
      </c>
      <c r="O211" s="16" t="s">
        <v>467</v>
      </c>
      <c r="P211" s="6">
        <v>0.29670000000000002</v>
      </c>
      <c r="Q211" s="12">
        <f t="shared" ref="Q211" si="172">P211*N211</f>
        <v>2.9670000000000001</v>
      </c>
      <c r="R211" s="11"/>
    </row>
    <row r="212" spans="1:18" x14ac:dyDescent="0.25">
      <c r="A212" s="1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>L212*5</f>
        <v>10</v>
      </c>
      <c r="N212" s="11">
        <v>100</v>
      </c>
      <c r="O212" s="16" t="s">
        <v>467</v>
      </c>
      <c r="P212" s="12">
        <v>5.9999999999999995E-4</v>
      </c>
      <c r="Q212" s="6">
        <f>P212*N212</f>
        <v>0.06</v>
      </c>
      <c r="R212" s="5"/>
    </row>
    <row r="213" spans="1:18" x14ac:dyDescent="0.25">
      <c r="A213" s="1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11">
        <f t="shared" ref="M213" si="173">L213*5</f>
        <v>5</v>
      </c>
      <c r="N213" s="5">
        <v>100</v>
      </c>
      <c r="O213" s="16" t="s">
        <v>467</v>
      </c>
      <c r="P213" s="6">
        <v>5.9999999999999995E-4</v>
      </c>
      <c r="Q213" s="12">
        <f t="shared" ref="Q213" si="174">P213*N213</f>
        <v>0.06</v>
      </c>
      <c r="R213" s="11"/>
    </row>
    <row r="214" spans="1:18" x14ac:dyDescent="0.25">
      <c r="A214" s="1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>L214*5</f>
        <v>5</v>
      </c>
      <c r="N214" s="5">
        <v>100</v>
      </c>
      <c r="O214" s="16" t="s">
        <v>467</v>
      </c>
      <c r="P214" s="6">
        <v>5.0000000000000001E-4</v>
      </c>
      <c r="Q214" s="6">
        <f>P214*N214</f>
        <v>0.05</v>
      </c>
      <c r="R214" s="5"/>
    </row>
    <row r="215" spans="1:18" x14ac:dyDescent="0.25">
      <c r="A215" s="1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11">
        <f t="shared" ref="M215" si="175">L215*5</f>
        <v>5</v>
      </c>
      <c r="N215" s="5">
        <v>100</v>
      </c>
      <c r="O215" s="16" t="s">
        <v>467</v>
      </c>
      <c r="P215" s="6">
        <v>5.9999999999999995E-4</v>
      </c>
      <c r="Q215" s="12">
        <f t="shared" ref="Q215" si="176">P215*N215</f>
        <v>0.06</v>
      </c>
      <c r="R215" s="11"/>
    </row>
    <row r="216" spans="1:18" ht="24" x14ac:dyDescent="0.25">
      <c r="A216" s="1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>L216*5</f>
        <v>5</v>
      </c>
      <c r="N216" s="5">
        <v>6</v>
      </c>
      <c r="O216" s="16" t="s">
        <v>467</v>
      </c>
      <c r="P216" s="6">
        <v>9.8475000000000001</v>
      </c>
      <c r="Q216" s="6">
        <f>P216*N216</f>
        <v>59.085000000000001</v>
      </c>
      <c r="R216" s="5"/>
    </row>
    <row r="217" spans="1:18" ht="24.75" thickBot="1" x14ac:dyDescent="0.3">
      <c r="A217" s="1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11">
        <f t="shared" ref="M217" si="177">L217*5</f>
        <v>5</v>
      </c>
      <c r="N217" s="11">
        <v>10</v>
      </c>
      <c r="O217" s="16" t="s">
        <v>467</v>
      </c>
      <c r="P217" s="12">
        <v>9.9000000000000005E-2</v>
      </c>
      <c r="Q217" s="12">
        <f t="shared" ref="Q217" si="178">P217*N217</f>
        <v>0.99</v>
      </c>
      <c r="R217" s="11"/>
    </row>
    <row r="218" spans="1:18" ht="19.5" thickBo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5" t="s">
        <v>1</v>
      </c>
      <c r="O218" s="26"/>
      <c r="P218" s="26"/>
      <c r="Q218" s="9">
        <f>SUM(Q208:Q217)</f>
        <v>64.203999999999994</v>
      </c>
      <c r="R218" s="1"/>
    </row>
    <row r="219" spans="1:18" ht="19.5" thickBo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5" t="s">
        <v>2</v>
      </c>
      <c r="O219" s="26"/>
      <c r="P219" s="26"/>
      <c r="Q219" s="10">
        <f>Q218/5</f>
        <v>12.840799999999998</v>
      </c>
      <c r="R219" s="1"/>
    </row>
    <row r="220" spans="1:18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26.25" x14ac:dyDescent="0.25">
      <c r="A221" s="1"/>
      <c r="B221" s="2"/>
      <c r="C221" s="2"/>
      <c r="D221" s="22"/>
      <c r="E221" s="22"/>
      <c r="F221" s="22"/>
      <c r="G221" s="27" t="s">
        <v>918</v>
      </c>
      <c r="H221" s="27"/>
      <c r="I221" s="27"/>
      <c r="J221" s="22"/>
      <c r="K221" s="23"/>
      <c r="L221" s="23"/>
      <c r="M221" s="23"/>
      <c r="N221" s="23"/>
      <c r="O221" s="23"/>
      <c r="P221" s="23"/>
      <c r="Q221" s="23"/>
      <c r="R221" s="23"/>
    </row>
    <row r="222" spans="1:18" ht="15.75" thickBot="1" x14ac:dyDescent="0.3">
      <c r="A222" s="1"/>
      <c r="B222" s="2"/>
      <c r="C222" s="2"/>
      <c r="D222" s="22"/>
      <c r="E222" s="22"/>
      <c r="F222" s="22"/>
      <c r="G222" s="22"/>
      <c r="H222" s="22"/>
      <c r="I222" s="22"/>
      <c r="J222" s="22"/>
      <c r="K222" s="23"/>
      <c r="L222" s="23"/>
      <c r="M222" s="23"/>
      <c r="N222" s="23"/>
      <c r="O222" s="23"/>
      <c r="P222" s="23"/>
      <c r="Q222" s="23"/>
      <c r="R222" s="23"/>
    </row>
    <row r="223" spans="1:18" ht="15.75" thickBot="1" x14ac:dyDescent="0.3">
      <c r="A223" s="1"/>
      <c r="B223" s="4" t="s">
        <v>0</v>
      </c>
      <c r="C223" s="4" t="s">
        <v>3</v>
      </c>
      <c r="D223" s="4" t="s">
        <v>16</v>
      </c>
      <c r="E223" s="4" t="s">
        <v>106</v>
      </c>
      <c r="F223" s="4" t="s">
        <v>190</v>
      </c>
      <c r="G223" s="4" t="s">
        <v>220</v>
      </c>
      <c r="H223" s="4" t="s">
        <v>298</v>
      </c>
      <c r="I223" s="4" t="s">
        <v>459</v>
      </c>
      <c r="J223" s="4" t="s">
        <v>327</v>
      </c>
      <c r="K223" s="4" t="s">
        <v>460</v>
      </c>
      <c r="L223" s="4" t="s">
        <v>458</v>
      </c>
      <c r="M223" s="4" t="s">
        <v>461</v>
      </c>
      <c r="N223" s="4" t="s">
        <v>462</v>
      </c>
      <c r="O223" s="4" t="s">
        <v>463</v>
      </c>
      <c r="P223" s="4" t="s">
        <v>464</v>
      </c>
      <c r="Q223" s="4" t="s">
        <v>465</v>
      </c>
      <c r="R223" s="4" t="s">
        <v>466</v>
      </c>
    </row>
    <row r="224" spans="1:18" x14ac:dyDescent="0.25">
      <c r="A224" s="1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L224*5</f>
        <v>5</v>
      </c>
      <c r="N224" s="11">
        <v>50</v>
      </c>
      <c r="O224" s="16" t="s">
        <v>467</v>
      </c>
      <c r="P224" s="12">
        <v>1.2800000000000001E-2</v>
      </c>
      <c r="Q224" s="6">
        <f>P224*N224</f>
        <v>0.64</v>
      </c>
      <c r="R224" s="5"/>
    </row>
    <row r="225" spans="1:18" x14ac:dyDescent="0.25">
      <c r="A225" s="1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11">
        <f t="shared" ref="M225" si="179">L225*5</f>
        <v>20</v>
      </c>
      <c r="N225" s="5">
        <v>100</v>
      </c>
      <c r="O225" s="16" t="s">
        <v>467</v>
      </c>
      <c r="P225" s="6">
        <v>1.1000000000000001E-3</v>
      </c>
      <c r="Q225" s="12">
        <f t="shared" ref="Q225" si="180">P225*N225</f>
        <v>0.11</v>
      </c>
      <c r="R225" s="11"/>
    </row>
    <row r="226" spans="1:18" x14ac:dyDescent="0.25">
      <c r="A226" s="1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>L226*5</f>
        <v>5</v>
      </c>
      <c r="N226" s="5">
        <v>100</v>
      </c>
      <c r="O226" s="16" t="s">
        <v>467</v>
      </c>
      <c r="P226" s="6">
        <v>2.5999999999999999E-3</v>
      </c>
      <c r="Q226" s="6">
        <f>P226*N226</f>
        <v>0.26</v>
      </c>
      <c r="R226" s="5"/>
    </row>
    <row r="227" spans="1:18" x14ac:dyDescent="0.25">
      <c r="A227" s="1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11">
        <f t="shared" ref="M227" si="181">L227*5</f>
        <v>10</v>
      </c>
      <c r="N227" s="5">
        <v>15</v>
      </c>
      <c r="O227" s="16" t="s">
        <v>467</v>
      </c>
      <c r="P227" s="6">
        <v>0.28389999999999999</v>
      </c>
      <c r="Q227" s="12">
        <f t="shared" ref="Q227" si="182">P227*N227</f>
        <v>4.2584999999999997</v>
      </c>
      <c r="R227" s="11"/>
    </row>
    <row r="228" spans="1:18" ht="24" x14ac:dyDescent="0.25">
      <c r="A228" s="1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>L228*5</f>
        <v>10</v>
      </c>
      <c r="N228" s="5">
        <v>20</v>
      </c>
      <c r="O228" s="16" t="s">
        <v>467</v>
      </c>
      <c r="P228" s="6">
        <v>8.5300000000000001E-2</v>
      </c>
      <c r="Q228" s="6">
        <f>P228*N228</f>
        <v>1.706</v>
      </c>
      <c r="R228" s="5"/>
    </row>
    <row r="229" spans="1:18" ht="24" x14ac:dyDescent="0.25">
      <c r="A229" s="1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11">
        <f t="shared" ref="M229" si="183">L229*5</f>
        <v>10</v>
      </c>
      <c r="N229" s="11">
        <v>50</v>
      </c>
      <c r="O229" s="16" t="s">
        <v>467</v>
      </c>
      <c r="P229" s="12">
        <v>1.7100000000000001E-2</v>
      </c>
      <c r="Q229" s="12">
        <f t="shared" ref="Q229" si="184">P229*N229</f>
        <v>0.85499999999999998</v>
      </c>
      <c r="R229" s="11"/>
    </row>
    <row r="230" spans="1:18" ht="24" x14ac:dyDescent="0.25">
      <c r="A230" s="1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>L230*5</f>
        <v>10</v>
      </c>
      <c r="N230" s="11">
        <v>50</v>
      </c>
      <c r="O230" s="16" t="s">
        <v>467</v>
      </c>
      <c r="P230" s="12">
        <v>8.9999999999999993E-3</v>
      </c>
      <c r="Q230" s="6">
        <f>P230*N230</f>
        <v>0.44999999999999996</v>
      </c>
      <c r="R230" s="5"/>
    </row>
    <row r="231" spans="1:18" x14ac:dyDescent="0.25">
      <c r="A231" s="1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11">
        <f t="shared" ref="M231" si="185">L231*5</f>
        <v>5</v>
      </c>
      <c r="N231" s="11">
        <v>20</v>
      </c>
      <c r="O231" s="16" t="s">
        <v>467</v>
      </c>
      <c r="P231" s="12">
        <v>2.81E-2</v>
      </c>
      <c r="Q231" s="12">
        <f t="shared" ref="Q231" si="186">P231*N231</f>
        <v>0.56200000000000006</v>
      </c>
      <c r="R231" s="11"/>
    </row>
    <row r="232" spans="1:18" ht="36" x14ac:dyDescent="0.25">
      <c r="A232" s="1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>L232*5</f>
        <v>5</v>
      </c>
      <c r="N232" s="11">
        <v>50</v>
      </c>
      <c r="O232" s="16" t="s">
        <v>467</v>
      </c>
      <c r="P232" s="12">
        <v>1.29E-2</v>
      </c>
      <c r="Q232" s="6">
        <f>P232*N232</f>
        <v>0.64500000000000002</v>
      </c>
      <c r="R232" s="5"/>
    </row>
    <row r="233" spans="1:18" x14ac:dyDescent="0.25">
      <c r="A233" s="1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11">
        <f t="shared" ref="M233" si="187">L233*5</f>
        <v>5</v>
      </c>
      <c r="N233" s="11">
        <v>10</v>
      </c>
      <c r="O233" s="16" t="s">
        <v>467</v>
      </c>
      <c r="P233" s="12">
        <v>0.1905</v>
      </c>
      <c r="Q233" s="12">
        <f t="shared" ref="Q233" si="188">P233*N233</f>
        <v>1.905</v>
      </c>
      <c r="R233" s="11"/>
    </row>
    <row r="234" spans="1:18" ht="48" x14ac:dyDescent="0.25">
      <c r="A234" s="1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>L234*5</f>
        <v>5</v>
      </c>
      <c r="N234" s="5">
        <v>10</v>
      </c>
      <c r="O234" s="16" t="s">
        <v>467</v>
      </c>
      <c r="P234" s="6">
        <v>3.9E-2</v>
      </c>
      <c r="Q234" s="6">
        <f>P234*N234</f>
        <v>0.39</v>
      </c>
      <c r="R234" s="5"/>
    </row>
    <row r="235" spans="1:18" ht="24" x14ac:dyDescent="0.25">
      <c r="A235" s="1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11">
        <f t="shared" ref="M235" si="189">L235*5</f>
        <v>5</v>
      </c>
      <c r="N235" s="5">
        <v>50</v>
      </c>
      <c r="O235" s="16" t="s">
        <v>467</v>
      </c>
      <c r="P235" s="6">
        <v>5.4000000000000003E-3</v>
      </c>
      <c r="Q235" s="12">
        <f t="shared" ref="Q235" si="190">P235*N235</f>
        <v>0.27</v>
      </c>
      <c r="R235" s="11"/>
    </row>
    <row r="236" spans="1:18" x14ac:dyDescent="0.25">
      <c r="A236" s="1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>L236*5</f>
        <v>5</v>
      </c>
      <c r="N236" s="5">
        <v>100</v>
      </c>
      <c r="O236" s="16" t="s">
        <v>467</v>
      </c>
      <c r="P236" s="6">
        <v>5.9999999999999995E-4</v>
      </c>
      <c r="Q236" s="6">
        <f>P236*N236</f>
        <v>0.06</v>
      </c>
      <c r="R236" s="5"/>
    </row>
    <row r="237" spans="1:18" x14ac:dyDescent="0.25">
      <c r="A237" s="1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11">
        <f t="shared" ref="M237" si="191">L237*5</f>
        <v>15</v>
      </c>
      <c r="N237" s="5">
        <v>100</v>
      </c>
      <c r="O237" s="16" t="s">
        <v>467</v>
      </c>
      <c r="P237" s="6">
        <v>6.9999999999999999E-4</v>
      </c>
      <c r="Q237" s="12">
        <f t="shared" ref="Q237" si="192">P237*N237</f>
        <v>6.9999999999999993E-2</v>
      </c>
      <c r="R237" s="11"/>
    </row>
    <row r="238" spans="1:18" x14ac:dyDescent="0.25">
      <c r="A238" s="1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>L238*5</f>
        <v>10</v>
      </c>
      <c r="N238" s="5">
        <v>100</v>
      </c>
      <c r="O238" s="16" t="s">
        <v>467</v>
      </c>
      <c r="P238" s="6">
        <v>5.0000000000000001E-4</v>
      </c>
      <c r="Q238" s="6">
        <f>P238*N238</f>
        <v>0.05</v>
      </c>
      <c r="R238" s="5"/>
    </row>
    <row r="239" spans="1:18" x14ac:dyDescent="0.25">
      <c r="A239" s="1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11">
        <f t="shared" ref="M239" si="193">L239*5</f>
        <v>5</v>
      </c>
      <c r="N239" s="5">
        <v>20</v>
      </c>
      <c r="O239" s="16" t="s">
        <v>467</v>
      </c>
      <c r="P239" s="6">
        <v>2.07E-2</v>
      </c>
      <c r="Q239" s="12">
        <f t="shared" ref="Q239" si="194">P239*N239</f>
        <v>0.41399999999999998</v>
      </c>
      <c r="R239" s="11"/>
    </row>
    <row r="240" spans="1:18" x14ac:dyDescent="0.25">
      <c r="A240" s="1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>L240*5</f>
        <v>10</v>
      </c>
      <c r="N240" s="11">
        <v>100</v>
      </c>
      <c r="O240" s="16" t="s">
        <v>467</v>
      </c>
      <c r="P240" s="12">
        <v>5.9999999999999995E-4</v>
      </c>
      <c r="Q240" s="6">
        <f>P240*N240</f>
        <v>0.06</v>
      </c>
      <c r="R240" s="5"/>
    </row>
    <row r="241" spans="1:18" x14ac:dyDescent="0.25">
      <c r="A241" s="1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11">
        <f t="shared" ref="M241" si="195">L241*5</f>
        <v>5</v>
      </c>
      <c r="N241" s="5">
        <v>100</v>
      </c>
      <c r="O241" s="16" t="s">
        <v>467</v>
      </c>
      <c r="P241" s="6">
        <v>5.9999999999999995E-4</v>
      </c>
      <c r="Q241" s="12">
        <f t="shared" ref="Q241" si="196">P241*N241</f>
        <v>0.06</v>
      </c>
      <c r="R241" s="11"/>
    </row>
    <row r="242" spans="1:18" x14ac:dyDescent="0.25">
      <c r="A242" s="1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>L242*5</f>
        <v>5</v>
      </c>
      <c r="N242" s="5">
        <v>100</v>
      </c>
      <c r="O242" s="16" t="s">
        <v>467</v>
      </c>
      <c r="P242" s="6">
        <v>7.0000000000000001E-3</v>
      </c>
      <c r="Q242" s="6">
        <f>P242*N242</f>
        <v>0.70000000000000007</v>
      </c>
      <c r="R242" s="5"/>
    </row>
    <row r="243" spans="1:18" x14ac:dyDescent="0.25">
      <c r="A243" s="1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11">
        <f t="shared" ref="M243" si="197">L243*5</f>
        <v>5</v>
      </c>
      <c r="N243" s="5">
        <v>100</v>
      </c>
      <c r="O243" s="16" t="s">
        <v>467</v>
      </c>
      <c r="P243" s="6">
        <v>6.9999999999999999E-4</v>
      </c>
      <c r="Q243" s="12">
        <f t="shared" ref="Q243" si="198">P243*N243</f>
        <v>6.9999999999999993E-2</v>
      </c>
      <c r="R243" s="11"/>
    </row>
    <row r="244" spans="1:18" x14ac:dyDescent="0.25">
      <c r="A244" s="1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>L244*5</f>
        <v>5</v>
      </c>
      <c r="N244" s="5">
        <v>100</v>
      </c>
      <c r="O244" s="16" t="s">
        <v>467</v>
      </c>
      <c r="P244" s="6">
        <v>5.9999999999999995E-4</v>
      </c>
      <c r="Q244" s="6">
        <f>P244*N244</f>
        <v>0.06</v>
      </c>
      <c r="R244" s="5"/>
    </row>
    <row r="245" spans="1:18" x14ac:dyDescent="0.25">
      <c r="A245" s="1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17">
        <f t="shared" ref="M245" si="199">L245*5</f>
        <v>5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ht="24" x14ac:dyDescent="0.25">
      <c r="A246" s="1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>L246*5</f>
        <v>5</v>
      </c>
      <c r="N246" s="5">
        <v>6</v>
      </c>
      <c r="O246" s="16" t="s">
        <v>467</v>
      </c>
      <c r="P246" s="6">
        <v>9.8475000000000001</v>
      </c>
      <c r="Q246" s="6">
        <f>P246*N246</f>
        <v>59.085000000000001</v>
      </c>
      <c r="R246" s="5"/>
    </row>
    <row r="247" spans="1:18" ht="24.75" thickBot="1" x14ac:dyDescent="0.3">
      <c r="A247" s="1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11">
        <f t="shared" ref="M247" si="200">L247*5</f>
        <v>5</v>
      </c>
      <c r="N247" s="11">
        <v>10</v>
      </c>
      <c r="O247" s="16" t="s">
        <v>467</v>
      </c>
      <c r="P247" s="12">
        <v>9.9000000000000005E-2</v>
      </c>
      <c r="Q247" s="12">
        <f t="shared" ref="Q247" si="201">P247*N247</f>
        <v>0.99</v>
      </c>
      <c r="R247" s="11"/>
    </row>
    <row r="248" spans="1:18" ht="19.5" thickBo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5" t="s">
        <v>1</v>
      </c>
      <c r="O248" s="26"/>
      <c r="P248" s="26"/>
      <c r="Q248" s="9">
        <f>SUM(Q224:Q247)</f>
        <v>73.67049999999999</v>
      </c>
      <c r="R248" s="1"/>
    </row>
    <row r="249" spans="1:18" ht="19.5" thickBo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5" t="s">
        <v>2</v>
      </c>
      <c r="O249" s="26"/>
      <c r="P249" s="26"/>
      <c r="Q249" s="10">
        <f>Q248/5</f>
        <v>14.734099999999998</v>
      </c>
      <c r="R249" s="1"/>
    </row>
    <row r="250" spans="1:18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26.25" x14ac:dyDescent="0.25">
      <c r="A251" s="1"/>
      <c r="B251" s="2"/>
      <c r="C251" s="2"/>
      <c r="D251" s="22"/>
      <c r="E251" s="22"/>
      <c r="F251" s="22"/>
      <c r="G251" s="27" t="s">
        <v>923</v>
      </c>
      <c r="H251" s="27"/>
      <c r="I251" s="27"/>
      <c r="J251" s="22"/>
      <c r="K251" s="23"/>
      <c r="L251" s="23"/>
      <c r="M251" s="23"/>
      <c r="N251" s="23"/>
      <c r="O251" s="23"/>
      <c r="P251" s="23"/>
      <c r="Q251" s="23"/>
      <c r="R251" s="23"/>
    </row>
    <row r="252" spans="1:18" ht="15.75" thickBot="1" x14ac:dyDescent="0.3">
      <c r="A252" s="1"/>
      <c r="B252" s="2"/>
      <c r="C252" s="2"/>
      <c r="D252" s="22"/>
      <c r="E252" s="22"/>
      <c r="F252" s="22"/>
      <c r="G252" s="22"/>
      <c r="H252" s="22"/>
      <c r="I252" s="22"/>
      <c r="J252" s="22"/>
      <c r="K252" s="23"/>
      <c r="L252" s="23"/>
      <c r="M252" s="23"/>
      <c r="N252" s="23"/>
      <c r="O252" s="23"/>
      <c r="P252" s="23"/>
      <c r="Q252" s="23"/>
      <c r="R252" s="23"/>
    </row>
    <row r="253" spans="1:18" ht="15.75" thickBot="1" x14ac:dyDescent="0.3">
      <c r="A253" s="1"/>
      <c r="B253" s="4" t="s">
        <v>0</v>
      </c>
      <c r="C253" s="4" t="s">
        <v>3</v>
      </c>
      <c r="D253" s="4" t="s">
        <v>16</v>
      </c>
      <c r="E253" s="4" t="s">
        <v>106</v>
      </c>
      <c r="F253" s="4" t="s">
        <v>190</v>
      </c>
      <c r="G253" s="4" t="s">
        <v>220</v>
      </c>
      <c r="H253" s="4" t="s">
        <v>298</v>
      </c>
      <c r="I253" s="4" t="s">
        <v>459</v>
      </c>
      <c r="J253" s="4" t="s">
        <v>327</v>
      </c>
      <c r="K253" s="4" t="s">
        <v>460</v>
      </c>
      <c r="L253" s="4" t="s">
        <v>458</v>
      </c>
      <c r="M253" s="4" t="s">
        <v>461</v>
      </c>
      <c r="N253" s="4" t="s">
        <v>462</v>
      </c>
      <c r="O253" s="4" t="s">
        <v>463</v>
      </c>
      <c r="P253" s="4" t="s">
        <v>464</v>
      </c>
      <c r="Q253" s="4" t="s">
        <v>465</v>
      </c>
      <c r="R253" s="4" t="s">
        <v>466</v>
      </c>
    </row>
    <row r="254" spans="1:18" x14ac:dyDescent="0.25">
      <c r="A254" s="1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L254*5</f>
        <v>10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x14ac:dyDescent="0.25">
      <c r="A255" s="1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" si="202">L255*5</f>
        <v>5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x14ac:dyDescent="0.25">
      <c r="A256" s="1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>L256*5</f>
        <v>5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ht="36" x14ac:dyDescent="0.25">
      <c r="A257" s="1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ref="M257" si="203">L257*5</f>
        <v>5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x14ac:dyDescent="0.25">
      <c r="A258" s="1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>L258*5</f>
        <v>5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ht="15.75" thickBot="1" x14ac:dyDescent="0.3">
      <c r="A259" s="1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ref="M259" si="204">L259*5</f>
        <v>10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5" t="s">
        <v>1</v>
      </c>
      <c r="O260" s="26"/>
      <c r="P260" s="26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5" t="s">
        <v>2</v>
      </c>
      <c r="O261" s="26"/>
      <c r="P261" s="26"/>
      <c r="Q261" s="10" t="e">
        <f>Q260/5</f>
        <v>#REF!</v>
      </c>
      <c r="R261" s="1"/>
    </row>
  </sheetData>
  <mergeCells count="21">
    <mergeCell ref="N94:P94"/>
    <mergeCell ref="N95:P95"/>
    <mergeCell ref="D2:O2"/>
    <mergeCell ref="D97:O97"/>
    <mergeCell ref="N125:P125"/>
    <mergeCell ref="N126:P126"/>
    <mergeCell ref="G128:I128"/>
    <mergeCell ref="N182:P182"/>
    <mergeCell ref="N183:P183"/>
    <mergeCell ref="G185:I185"/>
    <mergeCell ref="N202:P202"/>
    <mergeCell ref="N203:P203"/>
    <mergeCell ref="G205:I205"/>
    <mergeCell ref="N218:P218"/>
    <mergeCell ref="N260:P260"/>
    <mergeCell ref="N261:P261"/>
    <mergeCell ref="N219:P219"/>
    <mergeCell ref="G221:I221"/>
    <mergeCell ref="N248:P248"/>
    <mergeCell ref="N249:P249"/>
    <mergeCell ref="G251:I251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79" r:id="rId154"/>
    <hyperlink ref="O188" r:id="rId155"/>
    <hyperlink ref="O189" r:id="rId156"/>
    <hyperlink ref="O190" r:id="rId157"/>
    <hyperlink ref="O191" r:id="rId158"/>
    <hyperlink ref="O192" r:id="rId159"/>
    <hyperlink ref="O193" r:id="rId160"/>
    <hyperlink ref="O194" r:id="rId161"/>
    <hyperlink ref="O195" r:id="rId162"/>
    <hyperlink ref="O196" r:id="rId163"/>
    <hyperlink ref="O197" r:id="rId164"/>
    <hyperlink ref="O198" r:id="rId165"/>
    <hyperlink ref="O199" r:id="rId166"/>
    <hyperlink ref="O200" r:id="rId167"/>
    <hyperlink ref="O208" r:id="rId168"/>
    <hyperlink ref="O209" r:id="rId169"/>
    <hyperlink ref="O210" r:id="rId170"/>
    <hyperlink ref="O211" r:id="rId171"/>
    <hyperlink ref="O212" r:id="rId172"/>
    <hyperlink ref="O213" r:id="rId173"/>
    <hyperlink ref="O214" r:id="rId174"/>
    <hyperlink ref="O215" r:id="rId175"/>
    <hyperlink ref="O216" r:id="rId176"/>
    <hyperlink ref="O217" r:id="rId177"/>
    <hyperlink ref="O224" r:id="rId178"/>
    <hyperlink ref="O225" r:id="rId179"/>
    <hyperlink ref="O226" r:id="rId180"/>
    <hyperlink ref="O227" r:id="rId181"/>
    <hyperlink ref="O228" r:id="rId182"/>
    <hyperlink ref="O229" r:id="rId183"/>
    <hyperlink ref="O230" r:id="rId184"/>
    <hyperlink ref="O231" r:id="rId185"/>
    <hyperlink ref="O232" r:id="rId186"/>
    <hyperlink ref="O233" r:id="rId187"/>
    <hyperlink ref="O234" r:id="rId188"/>
    <hyperlink ref="O235" r:id="rId189"/>
    <hyperlink ref="O236" r:id="rId190"/>
    <hyperlink ref="O237" r:id="rId191"/>
    <hyperlink ref="O238" r:id="rId192"/>
    <hyperlink ref="O239" r:id="rId193"/>
    <hyperlink ref="O240" r:id="rId194"/>
    <hyperlink ref="O241" r:id="rId195"/>
    <hyperlink ref="O242" r:id="rId196"/>
    <hyperlink ref="O243" r:id="rId197"/>
    <hyperlink ref="O244" r:id="rId198"/>
    <hyperlink ref="O246" r:id="rId199"/>
    <hyperlink ref="O247" r:id="rId200"/>
    <hyperlink ref="O124" r:id="rId201" location="nav-specification"/>
  </hyperlinks>
  <pageMargins left="0.7" right="0.7" top="0.75" bottom="0.75" header="0.3" footer="0.3"/>
  <pageSetup paperSize="9" orientation="portrait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61"/>
  <sheetViews>
    <sheetView topLeftCell="E1" workbookViewId="0">
      <selection activeCell="M263" sqref="M263"/>
    </sheetView>
  </sheetViews>
  <sheetFormatPr defaultRowHeight="15" x14ac:dyDescent="0.25"/>
  <cols>
    <col min="2" max="2" width="3" style="3" bestFit="1" customWidth="1"/>
    <col min="3" max="3" width="18" style="3" bestFit="1" customWidth="1"/>
    <col min="4" max="4" width="27.42578125" customWidth="1"/>
    <col min="5" max="5" width="30.85546875" customWidth="1"/>
    <col min="6" max="6" width="18.42578125" bestFit="1" customWidth="1"/>
    <col min="7" max="7" width="25.28515625" bestFit="1" customWidth="1"/>
    <col min="8" max="8" width="20.710937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9.7109375" bestFit="1" customWidth="1"/>
    <col min="14" max="14" width="16.140625" bestFit="1" customWidth="1"/>
    <col min="15" max="15" width="10.28515625" bestFit="1" customWidth="1"/>
    <col min="16" max="16" width="19.7109375" bestFit="1" customWidth="1"/>
    <col min="17" max="17" width="20.28515625" bestFit="1" customWidth="1"/>
    <col min="18" max="18" width="16.5703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27" t="s">
        <v>486</v>
      </c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946</v>
      </c>
      <c r="N4" s="4" t="s">
        <v>947</v>
      </c>
      <c r="O4" s="4" t="s">
        <v>463</v>
      </c>
      <c r="P4" s="4" t="s">
        <v>948</v>
      </c>
      <c r="Q4" s="4" t="s">
        <v>949</v>
      </c>
      <c r="R4" s="4" t="s">
        <v>466</v>
      </c>
    </row>
    <row r="5" spans="1:18" ht="48" x14ac:dyDescent="0.25">
      <c r="A5" s="1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L5*10</f>
        <v>230</v>
      </c>
      <c r="N5" s="5">
        <v>240</v>
      </c>
      <c r="O5" s="15" t="s">
        <v>467</v>
      </c>
      <c r="P5" s="6">
        <v>2.7099999999999999E-2</v>
      </c>
      <c r="Q5" s="6">
        <f>P5*N5</f>
        <v>6.5039999999999996</v>
      </c>
      <c r="R5" s="5"/>
    </row>
    <row r="6" spans="1:18" ht="24" x14ac:dyDescent="0.25">
      <c r="A6" s="1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5">
        <f t="shared" ref="M6:M69" si="1">L6*10</f>
        <v>100</v>
      </c>
      <c r="N6" s="11">
        <v>200</v>
      </c>
      <c r="O6" s="16" t="s">
        <v>467</v>
      </c>
      <c r="P6" s="12">
        <v>1.9300000000000001E-2</v>
      </c>
      <c r="Q6" s="12">
        <f t="shared" ref="Q6" si="2">P6*N6</f>
        <v>3.8600000000000003</v>
      </c>
      <c r="R6" s="11"/>
    </row>
    <row r="7" spans="1:18" ht="60" x14ac:dyDescent="0.25">
      <c r="A7" s="1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 t="shared" si="1"/>
        <v>300</v>
      </c>
      <c r="N7" s="5">
        <v>400</v>
      </c>
      <c r="O7" s="16" t="s">
        <v>467</v>
      </c>
      <c r="P7" s="6">
        <v>2.5999999999999999E-3</v>
      </c>
      <c r="Q7" s="6">
        <f>P7*N7</f>
        <v>1.04</v>
      </c>
      <c r="R7" s="5"/>
    </row>
    <row r="8" spans="1:18" x14ac:dyDescent="0.25">
      <c r="A8" s="1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5">
        <f t="shared" si="1"/>
        <v>10</v>
      </c>
      <c r="N8" s="11">
        <v>50</v>
      </c>
      <c r="O8" s="16" t="s">
        <v>467</v>
      </c>
      <c r="P8" s="12">
        <v>1.0800000000000001E-2</v>
      </c>
      <c r="Q8" s="12">
        <f t="shared" ref="Q8" si="3">P8*N8</f>
        <v>0.54</v>
      </c>
      <c r="R8" s="11"/>
    </row>
    <row r="9" spans="1:18" ht="36" x14ac:dyDescent="0.25">
      <c r="A9" s="1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 t="shared" si="1"/>
        <v>210</v>
      </c>
      <c r="N9" s="5">
        <v>300</v>
      </c>
      <c r="O9" s="16" t="s">
        <v>467</v>
      </c>
      <c r="P9" s="6">
        <v>1.1000000000000001E-3</v>
      </c>
      <c r="Q9" s="6">
        <f>P9*N9</f>
        <v>0.33</v>
      </c>
      <c r="R9" s="5"/>
    </row>
    <row r="10" spans="1:18" x14ac:dyDescent="0.25">
      <c r="A10" s="1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5">
        <f t="shared" si="1"/>
        <v>20</v>
      </c>
      <c r="N10" s="11">
        <v>100</v>
      </c>
      <c r="O10" s="16" t="s">
        <v>467</v>
      </c>
      <c r="P10" s="12">
        <v>1E-3</v>
      </c>
      <c r="Q10" s="12">
        <f t="shared" ref="Q10" si="4">P10*N10</f>
        <v>0.1</v>
      </c>
      <c r="R10" s="11"/>
    </row>
    <row r="11" spans="1:18" x14ac:dyDescent="0.25">
      <c r="A11" s="1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 t="shared" si="1"/>
        <v>30</v>
      </c>
      <c r="N11" s="5">
        <v>40</v>
      </c>
      <c r="O11" s="16" t="s">
        <v>467</v>
      </c>
      <c r="P11" s="6">
        <v>2.8500000000000001E-2</v>
      </c>
      <c r="Q11" s="6">
        <f>P11*N11</f>
        <v>1.1400000000000001</v>
      </c>
      <c r="R11" s="5"/>
    </row>
    <row r="12" spans="1:18" x14ac:dyDescent="0.25">
      <c r="A12" s="1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5">
        <f t="shared" si="1"/>
        <v>40</v>
      </c>
      <c r="N12" s="11">
        <v>50</v>
      </c>
      <c r="O12" s="16" t="s">
        <v>467</v>
      </c>
      <c r="P12" s="12">
        <v>1.0800000000000001E-2</v>
      </c>
      <c r="Q12" s="12">
        <f t="shared" ref="Q12" si="5">P12*N12</f>
        <v>0.54</v>
      </c>
      <c r="R12" s="11"/>
    </row>
    <row r="13" spans="1:18" ht="96" x14ac:dyDescent="0.25">
      <c r="A13" s="1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 t="shared" si="1"/>
        <v>450</v>
      </c>
      <c r="N13" s="5">
        <v>500</v>
      </c>
      <c r="O13" s="16" t="s">
        <v>467</v>
      </c>
      <c r="P13" s="6">
        <v>1.1000000000000001E-3</v>
      </c>
      <c r="Q13" s="6">
        <f>P13*N13</f>
        <v>0.55000000000000004</v>
      </c>
      <c r="R13" s="5"/>
    </row>
    <row r="14" spans="1:18" x14ac:dyDescent="0.25">
      <c r="A14" s="1"/>
      <c r="B14" s="8">
        <f t="shared" si="0"/>
        <v>10</v>
      </c>
      <c r="C14" s="13" t="s">
        <v>4</v>
      </c>
      <c r="D14" s="17" t="s">
        <v>26</v>
      </c>
      <c r="E14" s="17" t="s">
        <v>116</v>
      </c>
      <c r="F14" s="17" t="s">
        <v>192</v>
      </c>
      <c r="G14" s="17" t="s">
        <v>230</v>
      </c>
      <c r="H14" s="17" t="s">
        <v>299</v>
      </c>
      <c r="I14" s="18" t="s">
        <v>479</v>
      </c>
      <c r="J14" s="17" t="s">
        <v>337</v>
      </c>
      <c r="K14" s="17" t="s">
        <v>413</v>
      </c>
      <c r="L14" s="17">
        <v>1</v>
      </c>
      <c r="M14" s="28">
        <f t="shared" si="1"/>
        <v>10</v>
      </c>
      <c r="N14" s="17" t="s">
        <v>468</v>
      </c>
      <c r="O14" s="17" t="s">
        <v>468</v>
      </c>
      <c r="P14" s="19" t="s">
        <v>468</v>
      </c>
      <c r="Q14" s="19" t="s">
        <v>468</v>
      </c>
      <c r="R14" s="20" t="s">
        <v>471</v>
      </c>
    </row>
    <row r="15" spans="1:18" ht="24" x14ac:dyDescent="0.25">
      <c r="A15" s="1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 t="shared" si="1"/>
        <v>80</v>
      </c>
      <c r="N15" s="5">
        <v>100</v>
      </c>
      <c r="O15" s="16" t="s">
        <v>467</v>
      </c>
      <c r="P15" s="6">
        <v>4.7999999999999996E-3</v>
      </c>
      <c r="Q15" s="6">
        <f>P15*N15</f>
        <v>0.48</v>
      </c>
      <c r="R15" s="5"/>
    </row>
    <row r="16" spans="1:18" x14ac:dyDescent="0.25">
      <c r="A16" s="1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28">
        <f t="shared" si="1"/>
        <v>10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x14ac:dyDescent="0.25">
      <c r="A17" s="1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 t="shared" si="1"/>
        <v>10</v>
      </c>
      <c r="N17" s="5">
        <v>50</v>
      </c>
      <c r="O17" s="16" t="s">
        <v>467</v>
      </c>
      <c r="P17" s="6">
        <v>1.7100000000000001E-2</v>
      </c>
      <c r="Q17" s="6">
        <f>P17*N17</f>
        <v>0.85499999999999998</v>
      </c>
      <c r="R17" s="5"/>
    </row>
    <row r="18" spans="1:18" x14ac:dyDescent="0.25">
      <c r="A18" s="1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5">
        <f t="shared" si="1"/>
        <v>10</v>
      </c>
      <c r="N18" s="11">
        <v>100</v>
      </c>
      <c r="O18" s="16" t="s">
        <v>467</v>
      </c>
      <c r="P18" s="12">
        <v>1.6000000000000001E-3</v>
      </c>
      <c r="Q18" s="12">
        <f t="shared" ref="Q18" si="6">P18*N18</f>
        <v>0.16</v>
      </c>
      <c r="R18" s="11"/>
    </row>
    <row r="19" spans="1:18" x14ac:dyDescent="0.25">
      <c r="A19" s="1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 t="shared" si="1"/>
        <v>20</v>
      </c>
      <c r="N19" s="5">
        <v>100</v>
      </c>
      <c r="O19" s="16" t="s">
        <v>467</v>
      </c>
      <c r="P19" s="6">
        <v>1.1000000000000001E-3</v>
      </c>
      <c r="Q19" s="6">
        <f>P19*N19</f>
        <v>0.11</v>
      </c>
      <c r="R19" s="5"/>
    </row>
    <row r="20" spans="1:18" x14ac:dyDescent="0.25">
      <c r="A20" s="1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5">
        <f t="shared" si="1"/>
        <v>10</v>
      </c>
      <c r="N20" s="5">
        <v>100</v>
      </c>
      <c r="O20" s="16" t="s">
        <v>467</v>
      </c>
      <c r="P20" s="6">
        <v>1E-3</v>
      </c>
      <c r="Q20" s="12">
        <f t="shared" ref="Q20" si="7">P20*N20</f>
        <v>0.1</v>
      </c>
      <c 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 t="shared" si="1"/>
        <v>20</v>
      </c>
      <c r="N21" s="5">
        <v>100</v>
      </c>
      <c r="O21" s="16" t="s">
        <v>467</v>
      </c>
      <c r="P21" s="6">
        <v>1E-3</v>
      </c>
      <c r="Q21" s="6">
        <f>P21*N21</f>
        <v>0.1</v>
      </c>
      <c r="R21" s="5"/>
    </row>
    <row r="22" spans="1:18" x14ac:dyDescent="0.25">
      <c r="A22" s="1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5">
        <f t="shared" si="1"/>
        <v>10</v>
      </c>
      <c r="N22" s="11">
        <v>100</v>
      </c>
      <c r="O22" s="16" t="s">
        <v>467</v>
      </c>
      <c r="P22" s="12">
        <v>1.01E-2</v>
      </c>
      <c r="Q22" s="12">
        <f t="shared" ref="Q22" si="8">P22*N22</f>
        <v>1.01</v>
      </c>
      <c r="R22" s="11"/>
    </row>
    <row r="23" spans="1:18" x14ac:dyDescent="0.25">
      <c r="A23" s="1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28">
        <f t="shared" si="1"/>
        <v>30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x14ac:dyDescent="0.25">
      <c r="A24" s="1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5">
        <f t="shared" si="1"/>
        <v>20</v>
      </c>
      <c r="N24" s="11">
        <v>25</v>
      </c>
      <c r="O24" s="16" t="s">
        <v>467</v>
      </c>
      <c r="P24" s="12">
        <v>0.17419999999999999</v>
      </c>
      <c r="Q24" s="12">
        <f t="shared" ref="Q24" si="9">P24*N24</f>
        <v>4.3549999999999995</v>
      </c>
      <c r="R24" s="11"/>
    </row>
    <row r="25" spans="1:18" x14ac:dyDescent="0.25">
      <c r="A25" s="1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 t="shared" si="1"/>
        <v>20</v>
      </c>
      <c r="N25" s="5">
        <v>100</v>
      </c>
      <c r="O25" s="16" t="s">
        <v>467</v>
      </c>
      <c r="P25" s="6">
        <v>4.8999999999999998E-3</v>
      </c>
      <c r="Q25" s="6">
        <f>P25*N25</f>
        <v>0.49</v>
      </c>
      <c r="R25" s="5"/>
    </row>
    <row r="26" spans="1:18" x14ac:dyDescent="0.25">
      <c r="A26" s="1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5">
        <f t="shared" si="1"/>
        <v>20</v>
      </c>
      <c r="N26" s="5">
        <v>40</v>
      </c>
      <c r="O26" s="16" t="s">
        <v>467</v>
      </c>
      <c r="P26" s="6">
        <v>4.2599999999999999E-2</v>
      </c>
      <c r="Q26" s="12">
        <f t="shared" ref="Q26" si="10">P26*N26</f>
        <v>1.704</v>
      </c>
      <c r="R26" s="11"/>
    </row>
    <row r="27" spans="1:18" x14ac:dyDescent="0.25">
      <c r="A27" s="1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 t="shared" si="1"/>
        <v>10</v>
      </c>
      <c r="N27" s="11">
        <v>100</v>
      </c>
      <c r="O27" s="16" t="s">
        <v>467</v>
      </c>
      <c r="P27" s="12">
        <v>2.5000000000000001E-3</v>
      </c>
      <c r="Q27" s="6">
        <f>P27*N27</f>
        <v>0.25</v>
      </c>
      <c r="R27" s="5"/>
    </row>
    <row r="28" spans="1:18" x14ac:dyDescent="0.25">
      <c r="A28" s="1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5">
        <f t="shared" si="1"/>
        <v>10</v>
      </c>
      <c r="N28" s="5">
        <v>100</v>
      </c>
      <c r="O28" s="16" t="s">
        <v>467</v>
      </c>
      <c r="P28" s="6">
        <v>1.1000000000000001E-3</v>
      </c>
      <c r="Q28" s="12">
        <f t="shared" ref="Q28" si="11">P28*N28</f>
        <v>0.11</v>
      </c>
      <c r="R28" s="11"/>
    </row>
    <row r="29" spans="1:18" x14ac:dyDescent="0.25">
      <c r="A29" s="1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 t="shared" si="1"/>
        <v>10</v>
      </c>
      <c r="N29" s="11">
        <v>100</v>
      </c>
      <c r="O29" s="16" t="s">
        <v>467</v>
      </c>
      <c r="P29" s="12">
        <v>4.4999999999999997E-3</v>
      </c>
      <c r="Q29" s="6">
        <f>P29*N29</f>
        <v>0.44999999999999996</v>
      </c>
      <c r="R29" s="5"/>
    </row>
    <row r="30" spans="1:18" x14ac:dyDescent="0.25">
      <c r="A30" s="1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5">
        <f t="shared" si="1"/>
        <v>10</v>
      </c>
      <c r="N30" s="5">
        <v>20</v>
      </c>
      <c r="O30" s="16" t="s">
        <v>467</v>
      </c>
      <c r="P30" s="6">
        <v>3.6299999999999999E-2</v>
      </c>
      <c r="Q30" s="12">
        <f t="shared" ref="Q30" si="12">P30*N30</f>
        <v>0.72599999999999998</v>
      </c>
      <c r="R30" s="11"/>
    </row>
    <row r="31" spans="1:18" x14ac:dyDescent="0.25">
      <c r="A31" s="1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 t="shared" si="1"/>
        <v>10</v>
      </c>
      <c r="N31" s="11">
        <v>100</v>
      </c>
      <c r="O31" s="16" t="s">
        <v>467</v>
      </c>
      <c r="P31" s="12">
        <v>3.3E-3</v>
      </c>
      <c r="Q31" s="6">
        <f>P31*N31</f>
        <v>0.33</v>
      </c>
      <c r="R31" s="5"/>
    </row>
    <row r="32" spans="1:18" x14ac:dyDescent="0.25">
      <c r="A32" s="1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5">
        <f t="shared" si="1"/>
        <v>20</v>
      </c>
      <c r="N32" s="5">
        <v>40</v>
      </c>
      <c r="O32" s="16" t="s">
        <v>467</v>
      </c>
      <c r="P32" s="6">
        <v>2.1100000000000001E-2</v>
      </c>
      <c r="Q32" s="12">
        <f t="shared" ref="Q32" si="13">P32*N32</f>
        <v>0.84400000000000008</v>
      </c>
      <c r="R32" s="11"/>
    </row>
    <row r="33" spans="1:18" ht="24" x14ac:dyDescent="0.25">
      <c r="A33" s="1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 t="shared" si="1"/>
        <v>30</v>
      </c>
      <c r="N33" s="11">
        <v>50</v>
      </c>
      <c r="O33" s="16" t="s">
        <v>467</v>
      </c>
      <c r="P33" s="12">
        <v>8.9999999999999993E-3</v>
      </c>
      <c r="Q33" s="6">
        <f>P33*N33</f>
        <v>0.44999999999999996</v>
      </c>
      <c r="R33" s="5"/>
    </row>
    <row r="34" spans="1:18" x14ac:dyDescent="0.25">
      <c r="A34" s="1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5">
        <f t="shared" si="1"/>
        <v>10</v>
      </c>
      <c r="N34" s="11">
        <v>20</v>
      </c>
      <c r="O34" s="16" t="s">
        <v>467</v>
      </c>
      <c r="P34" s="12">
        <v>1.7299999999999999E-2</v>
      </c>
      <c r="Q34" s="12">
        <f t="shared" ref="Q34" si="14">P34*N34</f>
        <v>0.34599999999999997</v>
      </c>
      <c r="R34" s="11"/>
    </row>
    <row r="35" spans="1:18" x14ac:dyDescent="0.25">
      <c r="A35" s="1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 t="shared" si="1"/>
        <v>10</v>
      </c>
      <c r="N35" s="11">
        <v>11</v>
      </c>
      <c r="O35" s="16" t="s">
        <v>474</v>
      </c>
      <c r="P35" s="12">
        <v>0.12705</v>
      </c>
      <c r="Q35" s="6">
        <f>P35*N35</f>
        <v>1.3975499999999998</v>
      </c>
      <c r="R35" s="5"/>
    </row>
    <row r="36" spans="1:18" ht="24" x14ac:dyDescent="0.25">
      <c r="A36" s="1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5">
        <f t="shared" si="1"/>
        <v>50</v>
      </c>
      <c r="N36" s="11">
        <v>30</v>
      </c>
      <c r="O36" s="16" t="s">
        <v>467</v>
      </c>
      <c r="P36" s="12">
        <v>8.2500000000000004E-2</v>
      </c>
      <c r="Q36" s="12">
        <f t="shared" ref="Q36" si="15">P36*N36</f>
        <v>2.4750000000000001</v>
      </c>
      <c r="R36" s="11"/>
    </row>
    <row r="37" spans="1:18" ht="36" x14ac:dyDescent="0.25">
      <c r="A37" s="1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 t="shared" si="1"/>
        <v>30</v>
      </c>
      <c r="N37" s="11">
        <v>40</v>
      </c>
      <c r="O37" s="16" t="s">
        <v>467</v>
      </c>
      <c r="P37" s="12">
        <v>0.19239999999999999</v>
      </c>
      <c r="Q37" s="6">
        <f>P37*N37</f>
        <v>7.6959999999999997</v>
      </c>
      <c r="R37" s="5"/>
    </row>
    <row r="38" spans="1:18" x14ac:dyDescent="0.25">
      <c r="A38" s="1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5">
        <f t="shared" si="1"/>
        <v>10</v>
      </c>
      <c r="N38" s="5">
        <v>11</v>
      </c>
      <c r="O38" s="16" t="s">
        <v>467</v>
      </c>
      <c r="P38" s="6">
        <v>0.92190000000000005</v>
      </c>
      <c r="Q38" s="12">
        <f t="shared" ref="Q38" si="16">P38*N38</f>
        <v>10.1409</v>
      </c>
      <c r="R38" s="11"/>
    </row>
    <row r="39" spans="1:18" x14ac:dyDescent="0.25">
      <c r="A39" s="1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 t="shared" si="1"/>
        <v>10</v>
      </c>
      <c r="N39" s="5">
        <v>20</v>
      </c>
      <c r="O39" s="16" t="s">
        <v>467</v>
      </c>
      <c r="P39" s="6">
        <v>3.5999999999999997E-2</v>
      </c>
      <c r="Q39" s="6">
        <f>P39*N39</f>
        <v>0.72</v>
      </c>
      <c r="R39" s="5"/>
    </row>
    <row r="40" spans="1:18" x14ac:dyDescent="0.25">
      <c r="A40" s="1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5">
        <f t="shared" si="1"/>
        <v>10</v>
      </c>
      <c r="N40" s="11">
        <v>20</v>
      </c>
      <c r="O40" s="16" t="s">
        <v>467</v>
      </c>
      <c r="P40" s="12">
        <v>3.85E-2</v>
      </c>
      <c r="Q40" s="12">
        <f t="shared" ref="Q40" si="17">P40*N40</f>
        <v>0.77</v>
      </c>
      <c r="R40" s="11"/>
    </row>
    <row r="41" spans="1:18" x14ac:dyDescent="0.25">
      <c r="A41" s="1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 t="shared" si="1"/>
        <v>10</v>
      </c>
      <c r="N41" s="5">
        <v>11</v>
      </c>
      <c r="O41" s="16" t="s">
        <v>467</v>
      </c>
      <c r="P41" s="6">
        <v>0.54039999999999999</v>
      </c>
      <c r="Q41" s="6">
        <f>P41*N41</f>
        <v>5.9443999999999999</v>
      </c>
      <c r="R41" s="5"/>
    </row>
    <row r="42" spans="1:18" x14ac:dyDescent="0.25">
      <c r="A42" s="1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5">
        <f t="shared" si="1"/>
        <v>10</v>
      </c>
      <c r="N42" s="11">
        <v>11</v>
      </c>
      <c r="O42" s="16" t="s">
        <v>467</v>
      </c>
      <c r="P42" s="12">
        <v>0.54669999999999996</v>
      </c>
      <c r="Q42" s="12">
        <f t="shared" ref="Q42" si="18">P42*N42</f>
        <v>6.0137</v>
      </c>
      <c r="R42" s="11"/>
    </row>
    <row r="43" spans="1:18" x14ac:dyDescent="0.25">
      <c r="A43" s="1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 t="shared" si="1"/>
        <v>40</v>
      </c>
      <c r="N43" s="5">
        <v>100</v>
      </c>
      <c r="O43" s="16" t="s">
        <v>467</v>
      </c>
      <c r="P43" s="6">
        <v>6.9999999999999999E-4</v>
      </c>
      <c r="Q43" s="6">
        <f>P43*N43</f>
        <v>6.9999999999999993E-2</v>
      </c>
      <c r="R43" s="5"/>
    </row>
    <row r="44" spans="1:18" x14ac:dyDescent="0.25">
      <c r="A44" s="1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5">
        <f t="shared" si="1"/>
        <v>60</v>
      </c>
      <c r="N44" s="11">
        <v>100</v>
      </c>
      <c r="O44" s="16" t="s">
        <v>467</v>
      </c>
      <c r="P44" s="12">
        <v>5.9999999999999995E-4</v>
      </c>
      <c r="Q44" s="12">
        <f t="shared" ref="Q44" si="19">P44*N44</f>
        <v>0.06</v>
      </c>
      <c r="R44" s="11"/>
    </row>
    <row r="45" spans="1:18" x14ac:dyDescent="0.25">
      <c r="A45" s="1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 t="shared" si="1"/>
        <v>10</v>
      </c>
      <c r="N45" s="5">
        <v>50</v>
      </c>
      <c r="O45" s="16" t="s">
        <v>467</v>
      </c>
      <c r="P45" s="6">
        <v>2.01E-2</v>
      </c>
      <c r="Q45" s="6">
        <f>P45*N45</f>
        <v>1.0049999999999999</v>
      </c>
      <c r="R45" s="5"/>
    </row>
    <row r="46" spans="1:18" x14ac:dyDescent="0.25">
      <c r="A46" s="1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5">
        <f t="shared" si="1"/>
        <v>10</v>
      </c>
      <c r="N46" s="11">
        <v>50</v>
      </c>
      <c r="O46" s="16" t="s">
        <v>467</v>
      </c>
      <c r="P46" s="12">
        <v>1.9900000000000001E-2</v>
      </c>
      <c r="Q46" s="12">
        <f t="shared" ref="Q46" si="20">P46*N46</f>
        <v>0.99500000000000011</v>
      </c>
      <c r="R46" s="11"/>
    </row>
    <row r="47" spans="1:18" x14ac:dyDescent="0.25">
      <c r="A47" s="1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 t="shared" si="1"/>
        <v>20</v>
      </c>
      <c r="N47" s="5">
        <v>100</v>
      </c>
      <c r="O47" s="16" t="s">
        <v>467</v>
      </c>
      <c r="P47" s="6">
        <v>5.9999999999999995E-4</v>
      </c>
      <c r="Q47" s="6">
        <f>P47*N47</f>
        <v>0.06</v>
      </c>
      <c r="R47" s="5"/>
    </row>
    <row r="48" spans="1:18" x14ac:dyDescent="0.25">
      <c r="A48" s="1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5">
        <f t="shared" si="1"/>
        <v>10</v>
      </c>
      <c r="N48" s="11">
        <v>100</v>
      </c>
      <c r="O48" s="16" t="s">
        <v>467</v>
      </c>
      <c r="P48" s="12">
        <v>6.9999999999999999E-4</v>
      </c>
      <c r="Q48" s="12">
        <f t="shared" ref="Q48" si="21">P48*N48</f>
        <v>6.9999999999999993E-2</v>
      </c>
      <c r="R48" s="11"/>
    </row>
    <row r="49" spans="1:18" x14ac:dyDescent="0.25">
      <c r="A49" s="1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 t="shared" si="1"/>
        <v>60</v>
      </c>
      <c r="N49" s="5">
        <v>100</v>
      </c>
      <c r="O49" s="16" t="s">
        <v>467</v>
      </c>
      <c r="P49" s="6">
        <v>5.0000000000000001E-4</v>
      </c>
      <c r="Q49" s="6">
        <f>P49*N49</f>
        <v>0.05</v>
      </c>
      <c r="R49" s="5"/>
    </row>
    <row r="50" spans="1:18" ht="24" x14ac:dyDescent="0.25">
      <c r="A50" s="1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5">
        <f t="shared" si="1"/>
        <v>80</v>
      </c>
      <c r="N50" s="11">
        <v>100</v>
      </c>
      <c r="O50" s="16" t="s">
        <v>467</v>
      </c>
      <c r="P50" s="12">
        <v>5.9999999999999995E-4</v>
      </c>
      <c r="Q50" s="12">
        <f t="shared" ref="Q50" si="22">P50*N50</f>
        <v>0.06</v>
      </c>
      <c r="R50" s="11"/>
    </row>
    <row r="51" spans="1:18" x14ac:dyDescent="0.25">
      <c r="A51" s="1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 t="shared" si="1"/>
        <v>40</v>
      </c>
      <c r="N51" s="5">
        <v>100</v>
      </c>
      <c r="O51" s="16" t="s">
        <v>467</v>
      </c>
      <c r="P51" s="6">
        <v>6.9999999999999999E-4</v>
      </c>
      <c r="Q51" s="6">
        <f>P51*N51</f>
        <v>6.9999999999999993E-2</v>
      </c>
      <c r="R51" s="5"/>
    </row>
    <row r="52" spans="1:18" x14ac:dyDescent="0.25">
      <c r="A52" s="1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28">
        <f t="shared" si="1"/>
        <v>10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x14ac:dyDescent="0.25">
      <c r="A53" s="1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 t="shared" si="1"/>
        <v>10</v>
      </c>
      <c r="N53" s="5">
        <v>20</v>
      </c>
      <c r="O53" s="16" t="s">
        <v>467</v>
      </c>
      <c r="P53" s="6">
        <v>2.58E-2</v>
      </c>
      <c r="Q53" s="6">
        <f>P53*N53</f>
        <v>0.51600000000000001</v>
      </c>
      <c r="R53" s="5"/>
    </row>
    <row r="54" spans="1:18" x14ac:dyDescent="0.25">
      <c r="A54" s="1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5">
        <f t="shared" si="1"/>
        <v>20</v>
      </c>
      <c r="N54" s="11">
        <v>100</v>
      </c>
      <c r="O54" s="16" t="s">
        <v>467</v>
      </c>
      <c r="P54" s="12">
        <v>1.1999999999999999E-3</v>
      </c>
      <c r="Q54" s="12">
        <f t="shared" ref="Q54" si="23">P54*N54</f>
        <v>0.12</v>
      </c>
      <c r="R54" s="11"/>
    </row>
    <row r="55" spans="1:18" x14ac:dyDescent="0.25">
      <c r="A55" s="1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28">
        <f t="shared" si="1"/>
        <v>20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x14ac:dyDescent="0.25">
      <c r="A56" s="1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5">
        <f t="shared" si="1"/>
        <v>40</v>
      </c>
      <c r="N56" s="11">
        <v>100</v>
      </c>
      <c r="O56" s="16" t="s">
        <v>467</v>
      </c>
      <c r="P56" s="12">
        <v>5.9999999999999995E-4</v>
      </c>
      <c r="Q56" s="12">
        <f t="shared" ref="Q56" si="24">P56*N56</f>
        <v>0.06</v>
      </c>
      <c r="R56" s="11"/>
    </row>
    <row r="57" spans="1:18" x14ac:dyDescent="0.25">
      <c r="A57" s="1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 t="shared" si="1"/>
        <v>10</v>
      </c>
      <c r="N57" s="5">
        <v>100</v>
      </c>
      <c r="O57" s="16" t="s">
        <v>467</v>
      </c>
      <c r="P57" s="6">
        <v>8.9999999999999998E-4</v>
      </c>
      <c r="Q57" s="6">
        <f>P57*N57</f>
        <v>0.09</v>
      </c>
      <c r="R57" s="5"/>
    </row>
    <row r="58" spans="1:18" x14ac:dyDescent="0.25">
      <c r="A58" s="1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28">
        <f t="shared" si="1"/>
        <v>30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x14ac:dyDescent="0.25">
      <c r="A59" s="1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 t="shared" si="1"/>
        <v>10</v>
      </c>
      <c r="N59" s="5">
        <v>100</v>
      </c>
      <c r="O59" s="15" t="s">
        <v>467</v>
      </c>
      <c r="P59" s="6">
        <v>1.1000000000000001E-3</v>
      </c>
      <c r="Q59" s="6">
        <f>P59*N59</f>
        <v>0.11</v>
      </c>
      <c r="R59" s="5"/>
    </row>
    <row r="60" spans="1:18" x14ac:dyDescent="0.25">
      <c r="A60" s="1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5">
        <f t="shared" si="1"/>
        <v>10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x14ac:dyDescent="0.25">
      <c r="A61" s="1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 t="shared" si="1"/>
        <v>30</v>
      </c>
      <c r="N61" s="11">
        <v>100</v>
      </c>
      <c r="O61" s="16" t="s">
        <v>467</v>
      </c>
      <c r="P61" s="12">
        <v>6.9999999999999999E-4</v>
      </c>
      <c r="Q61" s="6">
        <f>P61*N61</f>
        <v>6.9999999999999993E-2</v>
      </c>
      <c r="R61" s="5"/>
    </row>
    <row r="62" spans="1:18" x14ac:dyDescent="0.25">
      <c r="A62" s="1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5">
        <f t="shared" si="1"/>
        <v>10</v>
      </c>
      <c r="N62" s="5">
        <v>100</v>
      </c>
      <c r="O62" s="15" t="s">
        <v>467</v>
      </c>
      <c r="P62" s="6">
        <v>5.0000000000000001E-3</v>
      </c>
      <c r="Q62" s="12">
        <f t="shared" ref="Q62" si="25">P62*N62</f>
        <v>0.5</v>
      </c>
      <c r="R62" s="11"/>
    </row>
    <row r="63" spans="1:18" x14ac:dyDescent="0.25">
      <c r="A63" s="1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 t="shared" si="1"/>
        <v>20</v>
      </c>
      <c r="N63" s="5">
        <v>100</v>
      </c>
      <c r="O63" s="16" t="s">
        <v>467</v>
      </c>
      <c r="P63" s="6">
        <v>5.9999999999999995E-4</v>
      </c>
      <c r="Q63" s="6">
        <f>P63*N63</f>
        <v>0.06</v>
      </c>
      <c r="R63" s="5"/>
    </row>
    <row r="64" spans="1:18" x14ac:dyDescent="0.25">
      <c r="A64" s="1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5">
        <f t="shared" si="1"/>
        <v>10</v>
      </c>
      <c r="N64" s="11">
        <v>50</v>
      </c>
      <c r="O64" s="16" t="s">
        <v>467</v>
      </c>
      <c r="P64" s="12">
        <v>1.03E-2</v>
      </c>
      <c r="Q64" s="12">
        <f t="shared" ref="Q64" si="26">P64*N64</f>
        <v>0.51500000000000001</v>
      </c>
      <c r="R64" s="11"/>
    </row>
    <row r="65" spans="1:18" x14ac:dyDescent="0.25">
      <c r="A65" s="1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 t="shared" si="1"/>
        <v>10</v>
      </c>
      <c r="N65" s="11">
        <v>100</v>
      </c>
      <c r="O65" s="16" t="s">
        <v>467</v>
      </c>
      <c r="P65" s="12">
        <v>2.8E-3</v>
      </c>
      <c r="Q65" s="6">
        <f>P65*N65</f>
        <v>0.27999999999999997</v>
      </c>
      <c r="R65" s="5"/>
    </row>
    <row r="66" spans="1:18" x14ac:dyDescent="0.25">
      <c r="A66" s="1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5">
        <f t="shared" si="1"/>
        <v>10</v>
      </c>
      <c r="N66" s="11">
        <v>100</v>
      </c>
      <c r="O66" s="16" t="s">
        <v>467</v>
      </c>
      <c r="P66" s="12">
        <v>5.9999999999999995E-4</v>
      </c>
      <c r="Q66" s="12">
        <f t="shared" ref="Q66" si="27">P66*N66</f>
        <v>0.06</v>
      </c>
      <c r="R66" s="11"/>
    </row>
    <row r="67" spans="1:18" x14ac:dyDescent="0.25">
      <c r="A67" s="1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 t="shared" si="1"/>
        <v>10</v>
      </c>
      <c r="N67" s="11">
        <v>100</v>
      </c>
      <c r="O67" s="21" t="s">
        <v>467</v>
      </c>
      <c r="P67" s="12">
        <v>1.2999999999999999E-3</v>
      </c>
      <c r="Q67" s="6">
        <f>P67*N67</f>
        <v>0.13</v>
      </c>
      <c r="R67" s="5"/>
    </row>
    <row r="68" spans="1:18" ht="36" x14ac:dyDescent="0.25">
      <c r="A68" s="1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5">
        <f t="shared" si="1"/>
        <v>10</v>
      </c>
      <c r="N68" s="5">
        <v>100</v>
      </c>
      <c r="O68" s="16" t="s">
        <v>467</v>
      </c>
      <c r="P68" s="6">
        <v>8.9999999999999998E-4</v>
      </c>
      <c r="Q68" s="12">
        <f t="shared" ref="Q68" si="28">P68*N68</f>
        <v>0.09</v>
      </c>
      <c r="R68" s="11"/>
    </row>
    <row r="69" spans="1:18" x14ac:dyDescent="0.25">
      <c r="A69" s="1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 t="shared" si="1"/>
        <v>10</v>
      </c>
      <c r="N69" s="11">
        <v>100</v>
      </c>
      <c r="O69" s="16" t="s">
        <v>467</v>
      </c>
      <c r="P69" s="12">
        <v>2.0999999999999999E-3</v>
      </c>
      <c r="Q69" s="6">
        <f>P69*N69</f>
        <v>0.21</v>
      </c>
      <c r="R69" s="5"/>
    </row>
    <row r="70" spans="1:18" x14ac:dyDescent="0.25">
      <c r="A70" s="1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5">
        <f t="shared" ref="M70:M93" si="29">L70*10</f>
        <v>10</v>
      </c>
      <c r="N70" s="5">
        <v>100</v>
      </c>
      <c r="O70" s="16" t="s">
        <v>467</v>
      </c>
      <c r="P70" s="6">
        <v>2.5999999999999999E-3</v>
      </c>
      <c r="Q70" s="12">
        <f t="shared" ref="Q70" si="30">P70*N70</f>
        <v>0.26</v>
      </c>
      <c r="R70" s="11"/>
    </row>
    <row r="71" spans="1:18" ht="36" x14ac:dyDescent="0.25">
      <c r="A71" s="1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 t="shared" si="29"/>
        <v>10</v>
      </c>
      <c r="N71" s="11">
        <v>100</v>
      </c>
      <c r="O71" s="16" t="s">
        <v>467</v>
      </c>
      <c r="P71" s="12">
        <v>5.0000000000000001E-4</v>
      </c>
      <c r="Q71" s="6">
        <f>P71*N71</f>
        <v>0.05</v>
      </c>
      <c r="R71" s="5"/>
    </row>
    <row r="72" spans="1:18" x14ac:dyDescent="0.25">
      <c r="A72" s="1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5">
        <f t="shared" si="29"/>
        <v>20</v>
      </c>
      <c r="N72" s="5">
        <v>100</v>
      </c>
      <c r="O72" s="16" t="s">
        <v>467</v>
      </c>
      <c r="P72" s="6">
        <v>1E-3</v>
      </c>
      <c r="Q72" s="12">
        <f t="shared" ref="Q72" si="31">P72*N72</f>
        <v>0.1</v>
      </c>
      <c r="R72" s="11"/>
    </row>
    <row r="73" spans="1:18" x14ac:dyDescent="0.25">
      <c r="A73" s="1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 t="shared" si="29"/>
        <v>10</v>
      </c>
      <c r="N73" s="11">
        <v>11</v>
      </c>
      <c r="O73" s="16" t="s">
        <v>467</v>
      </c>
      <c r="P73" s="12">
        <v>0.47749999999999998</v>
      </c>
      <c r="Q73" s="6">
        <f>P73*N73</f>
        <v>5.2524999999999995</v>
      </c>
      <c r="R73" s="5"/>
    </row>
    <row r="74" spans="1:18" x14ac:dyDescent="0.25">
      <c r="A74" s="1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5">
        <f t="shared" si="29"/>
        <v>10</v>
      </c>
      <c r="N74" s="5">
        <v>20</v>
      </c>
      <c r="O74" s="16" t="s">
        <v>467</v>
      </c>
      <c r="P74" s="6">
        <v>3.6900000000000002E-2</v>
      </c>
      <c r="Q74" s="12">
        <f t="shared" ref="Q74" si="32">P74*N74</f>
        <v>0.73799999999999999</v>
      </c>
      <c r="R74" s="11"/>
    </row>
    <row r="75" spans="1:18" x14ac:dyDescent="0.25">
      <c r="A75" s="1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 t="shared" si="29"/>
        <v>10</v>
      </c>
      <c r="N75" s="11">
        <v>20</v>
      </c>
      <c r="O75" s="16" t="s">
        <v>467</v>
      </c>
      <c r="P75" s="12">
        <v>3.6999999999999998E-2</v>
      </c>
      <c r="Q75" s="6">
        <f>P75*N75</f>
        <v>0.74</v>
      </c>
      <c r="R75" s="5"/>
    </row>
    <row r="76" spans="1:18" x14ac:dyDescent="0.25">
      <c r="A76" s="1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5">
        <f t="shared" si="29"/>
        <v>10</v>
      </c>
      <c r="N76" s="5">
        <v>20</v>
      </c>
      <c r="O76" s="16" t="s">
        <v>467</v>
      </c>
      <c r="P76" s="6">
        <v>2.07E-2</v>
      </c>
      <c r="Q76" s="12">
        <f t="shared" ref="Q76" si="33">P76*N76</f>
        <v>0.41399999999999998</v>
      </c>
      <c r="R76" s="11"/>
    </row>
    <row r="77" spans="1:18" ht="36" x14ac:dyDescent="0.25">
      <c r="A77" s="1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 t="shared" si="29"/>
        <v>10</v>
      </c>
      <c r="N77" s="5">
        <v>100</v>
      </c>
      <c r="O77" s="16" t="s">
        <v>467</v>
      </c>
      <c r="P77" s="6">
        <v>5.0000000000000001E-4</v>
      </c>
      <c r="Q77" s="6">
        <f>P77*N77</f>
        <v>0.05</v>
      </c>
      <c r="R77" s="5"/>
    </row>
    <row r="78" spans="1:18" x14ac:dyDescent="0.25">
      <c r="A78" s="1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5">
        <f t="shared" si="29"/>
        <v>20</v>
      </c>
      <c r="N78" s="11">
        <v>50</v>
      </c>
      <c r="O78" s="16" t="s">
        <v>467</v>
      </c>
      <c r="P78" s="12">
        <v>7.7000000000000002E-3</v>
      </c>
      <c r="Q78" s="12">
        <f t="shared" ref="Q78" si="34">P78*N78</f>
        <v>0.38500000000000001</v>
      </c>
      <c r="R78" s="11"/>
    </row>
    <row r="79" spans="1:18" x14ac:dyDescent="0.25">
      <c r="A79" s="1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 t="shared" si="29"/>
        <v>10</v>
      </c>
      <c r="N79" s="5">
        <v>20</v>
      </c>
      <c r="O79" s="16" t="s">
        <v>467</v>
      </c>
      <c r="P79" s="6">
        <v>2.4299999999999999E-2</v>
      </c>
      <c r="Q79" s="6">
        <f>P79*N79</f>
        <v>0.48599999999999999</v>
      </c>
      <c r="R79" s="5"/>
    </row>
    <row r="80" spans="1:18" x14ac:dyDescent="0.25">
      <c r="A80" s="1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5">
        <f t="shared" si="29"/>
        <v>40</v>
      </c>
      <c r="N80" s="5">
        <v>45</v>
      </c>
      <c r="O80" s="16" t="s">
        <v>467</v>
      </c>
      <c r="P80" s="6">
        <v>0.1552</v>
      </c>
      <c r="Q80" s="12">
        <f t="shared" ref="Q80" si="35">P80*N80</f>
        <v>6.984</v>
      </c>
      <c r="R80" s="11"/>
    </row>
    <row r="81" spans="1:18" ht="36" x14ac:dyDescent="0.25">
      <c r="A81" s="1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 t="shared" si="29"/>
        <v>10</v>
      </c>
      <c r="N81" s="11">
        <v>50</v>
      </c>
      <c r="O81" s="16" t="s">
        <v>467</v>
      </c>
      <c r="P81" s="12">
        <v>1.3299999999999999E-2</v>
      </c>
      <c r="Q81" s="6">
        <f>P81*N81</f>
        <v>0.66499999999999992</v>
      </c>
      <c r="R81" s="5"/>
    </row>
    <row r="82" spans="1:18" ht="24" x14ac:dyDescent="0.25">
      <c r="A82" s="1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5">
        <f t="shared" si="29"/>
        <v>10</v>
      </c>
      <c r="N82" s="11">
        <v>11</v>
      </c>
      <c r="O82" s="16" t="s">
        <v>467</v>
      </c>
      <c r="P82" s="12">
        <v>2.8976000000000002</v>
      </c>
      <c r="Q82" s="12">
        <f t="shared" ref="Q82" si="36">P82*N82</f>
        <v>31.873600000000003</v>
      </c>
      <c r="R82" s="11"/>
    </row>
    <row r="83" spans="1:18" x14ac:dyDescent="0.25">
      <c r="A83" s="1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 t="shared" si="29"/>
        <v>10</v>
      </c>
      <c r="N83" s="5">
        <v>11</v>
      </c>
      <c r="O83" s="16" t="s">
        <v>467</v>
      </c>
      <c r="P83" s="6">
        <v>5.4526000000000003</v>
      </c>
      <c r="Q83" s="6">
        <f>P83*N83</f>
        <v>59.9786</v>
      </c>
      <c r="R83" s="5"/>
    </row>
    <row r="84" spans="1:18" x14ac:dyDescent="0.25">
      <c r="A84" s="1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5">
        <f t="shared" si="29"/>
        <v>20</v>
      </c>
      <c r="N84" s="11">
        <v>21</v>
      </c>
      <c r="O84" s="16" t="s">
        <v>467</v>
      </c>
      <c r="P84" s="12">
        <v>2.4032</v>
      </c>
      <c r="Q84" s="12">
        <f t="shared" ref="Q84" si="37">P84*N84</f>
        <v>50.467199999999998</v>
      </c>
      <c r="R84" s="11"/>
    </row>
    <row r="85" spans="1:18" ht="24" x14ac:dyDescent="0.25">
      <c r="A85" s="1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 t="shared" si="29"/>
        <v>10</v>
      </c>
      <c r="N85" s="5">
        <v>11</v>
      </c>
      <c r="O85" s="16" t="s">
        <v>467</v>
      </c>
      <c r="P85" s="6">
        <v>9.8475000000000001</v>
      </c>
      <c r="Q85" s="6">
        <f>P85*N85</f>
        <v>108.32250000000001</v>
      </c>
      <c r="R85" s="5"/>
    </row>
    <row r="86" spans="1:18" ht="24" x14ac:dyDescent="0.25">
      <c r="A86" s="1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5">
        <f t="shared" si="29"/>
        <v>10</v>
      </c>
      <c r="N86" s="5">
        <v>11</v>
      </c>
      <c r="O86" s="16" t="s">
        <v>467</v>
      </c>
      <c r="P86" s="6">
        <v>1.7825</v>
      </c>
      <c r="Q86" s="12">
        <f t="shared" ref="Q86" si="38">P86*N86</f>
        <v>19.607499999999998</v>
      </c>
      <c r="R86" s="11"/>
    </row>
    <row r="87" spans="1:18" x14ac:dyDescent="0.25">
      <c r="A87" s="1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 t="shared" si="29"/>
        <v>10</v>
      </c>
      <c r="N87" s="5">
        <v>11</v>
      </c>
      <c r="O87" s="16" t="s">
        <v>467</v>
      </c>
      <c r="P87" s="6">
        <v>1.0048999999999999</v>
      </c>
      <c r="Q87" s="6">
        <f>P87*N87</f>
        <v>11.053899999999999</v>
      </c>
      <c r="R87" s="5"/>
    </row>
    <row r="88" spans="1:18" ht="24" x14ac:dyDescent="0.25">
      <c r="A88" s="1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5">
        <f t="shared" si="29"/>
        <v>10</v>
      </c>
      <c r="N88" s="11">
        <v>20</v>
      </c>
      <c r="O88" s="16" t="s">
        <v>467</v>
      </c>
      <c r="P88" s="12">
        <v>0.15359999999999999</v>
      </c>
      <c r="Q88" s="12">
        <f t="shared" ref="Q88" si="39">P88*N88</f>
        <v>3.0719999999999996</v>
      </c>
      <c r="R88" s="11"/>
    </row>
    <row r="89" spans="1:18" x14ac:dyDescent="0.25">
      <c r="A89" s="1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 t="shared" si="29"/>
        <v>20</v>
      </c>
      <c r="N89" s="11">
        <v>25</v>
      </c>
      <c r="O89" s="16" t="s">
        <v>467</v>
      </c>
      <c r="P89" s="12">
        <v>0.19159999999999999</v>
      </c>
      <c r="Q89" s="6">
        <f>P89*N89</f>
        <v>4.79</v>
      </c>
      <c r="R89" s="5"/>
    </row>
    <row r="90" spans="1:18" x14ac:dyDescent="0.25">
      <c r="A90" s="1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5">
        <f t="shared" si="29"/>
        <v>10</v>
      </c>
      <c r="N90" s="5">
        <v>20</v>
      </c>
      <c r="O90" s="16" t="s">
        <v>467</v>
      </c>
      <c r="P90" s="6">
        <v>8.0799999999999997E-2</v>
      </c>
      <c r="Q90" s="12">
        <f t="shared" ref="Q90" si="40">P90*N90</f>
        <v>1.6159999999999999</v>
      </c>
      <c r="R90" s="11"/>
    </row>
    <row r="91" spans="1:18" ht="24" x14ac:dyDescent="0.25">
      <c r="A91" s="1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 t="shared" si="29"/>
        <v>10</v>
      </c>
      <c r="N91" s="11">
        <v>20</v>
      </c>
      <c r="O91" s="16" t="s">
        <v>467</v>
      </c>
      <c r="P91" s="12">
        <v>0.2306</v>
      </c>
      <c r="Q91" s="6">
        <f>P91*N91</f>
        <v>4.6120000000000001</v>
      </c>
      <c r="R91" s="5"/>
    </row>
    <row r="92" spans="1:18" ht="36" x14ac:dyDescent="0.25">
      <c r="A92" s="1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5">
        <f t="shared" si="29"/>
        <v>10</v>
      </c>
      <c r="N92" s="11">
        <v>20</v>
      </c>
      <c r="O92" s="16" t="s">
        <v>467</v>
      </c>
      <c r="P92" s="12">
        <v>5.8200000000000002E-2</v>
      </c>
      <c r="Q92" s="12">
        <f t="shared" ref="Q92" si="41">P92*N92</f>
        <v>1.1640000000000001</v>
      </c>
      <c r="R92" s="11"/>
    </row>
    <row r="93" spans="1:18" ht="15.75" thickBot="1" x14ac:dyDescent="0.3">
      <c r="A93" s="1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 t="shared" si="29"/>
        <v>10</v>
      </c>
      <c r="N93" s="5">
        <v>20</v>
      </c>
      <c r="O93" s="16" t="s">
        <v>467</v>
      </c>
      <c r="P93" s="6">
        <v>0.25950000000000001</v>
      </c>
      <c r="Q93" s="6">
        <f>P93*N93</f>
        <v>5.19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5" t="s">
        <v>1</v>
      </c>
      <c r="O94" s="26"/>
      <c r="P94" s="26"/>
      <c r="Q94" s="9">
        <f>SUM(Q5:Q93)</f>
        <v>385.75435000000004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5" t="s">
        <v>2</v>
      </c>
      <c r="O95" s="26"/>
      <c r="P95" s="26"/>
      <c r="Q95" s="10">
        <f>Q94/10</f>
        <v>38.575435000000006</v>
      </c>
      <c r="R95" s="1"/>
    </row>
    <row r="96" spans="1:18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26.25" x14ac:dyDescent="0.25">
      <c r="A97" s="1"/>
      <c r="B97" s="2"/>
      <c r="C97" s="2"/>
      <c r="D97" s="27" t="s">
        <v>487</v>
      </c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3"/>
      <c r="Q97" s="23"/>
      <c r="R97" s="23"/>
    </row>
    <row r="98" spans="1:18" ht="15.75" thickBot="1" x14ac:dyDescent="0.3">
      <c r="A98" s="1"/>
      <c r="B98" s="2"/>
      <c r="C98" s="2"/>
      <c r="D98" s="22"/>
      <c r="E98" s="22"/>
      <c r="F98" s="22"/>
      <c r="G98" s="22"/>
      <c r="H98" s="22"/>
      <c r="I98" s="22"/>
      <c r="J98" s="22"/>
      <c r="K98" s="23"/>
      <c r="L98" s="23"/>
      <c r="M98" s="23"/>
      <c r="N98" s="23"/>
      <c r="O98" s="23"/>
      <c r="P98" s="23"/>
      <c r="Q98" s="23"/>
      <c r="R98" s="23"/>
    </row>
    <row r="99" spans="1:18" ht="15.75" thickBot="1" x14ac:dyDescent="0.3">
      <c r="A99" s="1"/>
      <c r="B99" s="4" t="s">
        <v>0</v>
      </c>
      <c r="C99" s="4" t="s">
        <v>3</v>
      </c>
      <c r="D99" s="4" t="s">
        <v>16</v>
      </c>
      <c r="E99" s="4" t="s">
        <v>106</v>
      </c>
      <c r="F99" s="4" t="s">
        <v>190</v>
      </c>
      <c r="G99" s="4" t="s">
        <v>220</v>
      </c>
      <c r="H99" s="4" t="s">
        <v>298</v>
      </c>
      <c r="I99" s="4" t="s">
        <v>459</v>
      </c>
      <c r="J99" s="4" t="s">
        <v>327</v>
      </c>
      <c r="K99" s="4" t="s">
        <v>460</v>
      </c>
      <c r="L99" s="4" t="s">
        <v>458</v>
      </c>
      <c r="M99" s="4" t="s">
        <v>946</v>
      </c>
      <c r="N99" s="4" t="s">
        <v>947</v>
      </c>
      <c r="O99" s="4" t="s">
        <v>463</v>
      </c>
      <c r="P99" s="4" t="s">
        <v>948</v>
      </c>
      <c r="Q99" s="4" t="s">
        <v>949</v>
      </c>
      <c r="R99" s="4" t="s">
        <v>466</v>
      </c>
    </row>
    <row r="100" spans="1:18" x14ac:dyDescent="0.25">
      <c r="A100" s="1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L100*10</f>
        <v>20</v>
      </c>
      <c r="N100" s="11">
        <v>100</v>
      </c>
      <c r="O100" s="16" t="s">
        <v>467</v>
      </c>
      <c r="P100" s="12">
        <v>3.8999999999999998E-3</v>
      </c>
      <c r="Q100" s="6">
        <f>P100*N100</f>
        <v>0.38999999999999996</v>
      </c>
      <c r="R100" s="5"/>
    </row>
    <row r="101" spans="1:18" x14ac:dyDescent="0.25">
      <c r="A101" s="1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5">
        <f t="shared" ref="M101:M124" si="42">L101*10</f>
        <v>10</v>
      </c>
      <c r="N101" s="5">
        <v>100</v>
      </c>
      <c r="O101" s="16" t="s">
        <v>467</v>
      </c>
      <c r="P101" s="6">
        <v>5.1999999999999998E-3</v>
      </c>
      <c r="Q101" s="12">
        <f t="shared" ref="Q101" si="43">P101*N101</f>
        <v>0.52</v>
      </c>
      <c r="R101" s="11"/>
    </row>
    <row r="102" spans="1:18" x14ac:dyDescent="0.25">
      <c r="A102" s="1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 t="shared" si="42"/>
        <v>10</v>
      </c>
      <c r="N102" s="11">
        <v>100</v>
      </c>
      <c r="O102" s="16" t="s">
        <v>467</v>
      </c>
      <c r="P102" s="12">
        <v>2.5999999999999999E-3</v>
      </c>
      <c r="Q102" s="6">
        <f>P102*N102</f>
        <v>0.26</v>
      </c>
      <c r="R102" s="5"/>
    </row>
    <row r="103" spans="1:18" x14ac:dyDescent="0.25">
      <c r="A103" s="1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5">
        <f t="shared" si="42"/>
        <v>10</v>
      </c>
      <c r="N103" s="5">
        <v>100</v>
      </c>
      <c r="O103" s="16" t="s">
        <v>467</v>
      </c>
      <c r="P103" s="6">
        <v>2.8999999999999998E-3</v>
      </c>
      <c r="Q103" s="12">
        <f t="shared" ref="Q103" si="44">P103*N103</f>
        <v>0.28999999999999998</v>
      </c>
      <c r="R103" s="11"/>
    </row>
    <row r="104" spans="1:18" x14ac:dyDescent="0.25">
      <c r="A104" s="1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 t="shared" si="42"/>
        <v>20</v>
      </c>
      <c r="N104" s="11">
        <v>25</v>
      </c>
      <c r="O104" s="16" t="s">
        <v>467</v>
      </c>
      <c r="P104" s="12">
        <v>0.17419999999999999</v>
      </c>
      <c r="Q104" s="6">
        <f>P104*N104</f>
        <v>4.3549999999999995</v>
      </c>
      <c r="R104" s="5"/>
    </row>
    <row r="105" spans="1:18" x14ac:dyDescent="0.25">
      <c r="A105" s="1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5">
        <f t="shared" si="42"/>
        <v>10</v>
      </c>
      <c r="N105" s="5">
        <v>100</v>
      </c>
      <c r="O105" s="16" t="s">
        <v>467</v>
      </c>
      <c r="P105" s="6">
        <v>4.8999999999999998E-3</v>
      </c>
      <c r="Q105" s="12">
        <f t="shared" ref="Q105" si="45">P105*N105</f>
        <v>0.49</v>
      </c>
      <c r="R105" s="11"/>
    </row>
    <row r="106" spans="1:18" x14ac:dyDescent="0.25">
      <c r="A106" s="1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 t="shared" si="42"/>
        <v>20</v>
      </c>
      <c r="N106" s="5">
        <v>25</v>
      </c>
      <c r="O106" s="16" t="s">
        <v>467</v>
      </c>
      <c r="P106" s="6">
        <v>0.17219999999999999</v>
      </c>
      <c r="Q106" s="6">
        <f>P106*N106</f>
        <v>4.3049999999999997</v>
      </c>
      <c r="R106" s="5"/>
    </row>
    <row r="107" spans="1:18" x14ac:dyDescent="0.25">
      <c r="A107" s="1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5">
        <f t="shared" si="42"/>
        <v>10</v>
      </c>
      <c r="N107" s="11">
        <v>100</v>
      </c>
      <c r="O107" s="16" t="s">
        <v>467</v>
      </c>
      <c r="P107" s="12">
        <v>3.5000000000000001E-3</v>
      </c>
      <c r="Q107" s="12">
        <f t="shared" ref="Q107" si="46">P107*N107</f>
        <v>0.35000000000000003</v>
      </c>
      <c r="R107" s="11"/>
    </row>
    <row r="108" spans="1:18" ht="24" x14ac:dyDescent="0.25">
      <c r="A108" s="1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 t="shared" si="42"/>
        <v>20</v>
      </c>
      <c r="N108" s="11">
        <v>50</v>
      </c>
      <c r="O108" s="16" t="s">
        <v>467</v>
      </c>
      <c r="P108" s="12">
        <v>8.9999999999999993E-3</v>
      </c>
      <c r="Q108" s="6">
        <f>P108*N108</f>
        <v>0.44999999999999996</v>
      </c>
      <c r="R108" s="5"/>
    </row>
    <row r="109" spans="1:18" x14ac:dyDescent="0.25">
      <c r="A109" s="1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5">
        <f t="shared" si="42"/>
        <v>20</v>
      </c>
      <c r="N109" s="11">
        <v>40</v>
      </c>
      <c r="O109" s="16" t="s">
        <v>467</v>
      </c>
      <c r="P109" s="12">
        <v>0.1769</v>
      </c>
      <c r="Q109" s="12">
        <f t="shared" ref="Q109" si="47">P109*N109</f>
        <v>7.0760000000000005</v>
      </c>
      <c r="R109" s="11"/>
    </row>
    <row r="110" spans="1:18" ht="48" x14ac:dyDescent="0.25">
      <c r="A110" s="1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 t="shared" si="42"/>
        <v>10</v>
      </c>
      <c r="N110" s="5">
        <v>50</v>
      </c>
      <c r="O110" s="16" t="s">
        <v>467</v>
      </c>
      <c r="P110" s="6">
        <v>1.6899999999999998E-2</v>
      </c>
      <c r="Q110" s="6">
        <f>P110*N110</f>
        <v>0.84499999999999997</v>
      </c>
      <c r="R110" s="5"/>
    </row>
    <row r="111" spans="1:18" ht="24" x14ac:dyDescent="0.25">
      <c r="A111" s="1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5">
        <f t="shared" si="42"/>
        <v>10</v>
      </c>
      <c r="N111" s="5">
        <v>15</v>
      </c>
      <c r="O111" s="16" t="s">
        <v>467</v>
      </c>
      <c r="P111" s="6">
        <v>0.14760000000000001</v>
      </c>
      <c r="Q111" s="12">
        <f t="shared" ref="Q111" si="48">P111*N111</f>
        <v>2.214</v>
      </c>
      <c r="R111" s="11"/>
    </row>
    <row r="112" spans="1:18" x14ac:dyDescent="0.25">
      <c r="A112" s="1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 t="shared" si="42"/>
        <v>10</v>
      </c>
      <c r="N112" s="11">
        <v>20</v>
      </c>
      <c r="O112" s="16" t="s">
        <v>467</v>
      </c>
      <c r="P112" s="12">
        <v>3.85E-2</v>
      </c>
      <c r="Q112" s="6">
        <f>P112*N112</f>
        <v>0.77</v>
      </c>
      <c r="R112" s="5"/>
    </row>
    <row r="113" spans="1:18" ht="48" x14ac:dyDescent="0.25">
      <c r="A113" s="1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5">
        <f t="shared" si="42"/>
        <v>10</v>
      </c>
      <c r="N113" s="11">
        <v>20</v>
      </c>
      <c r="O113" s="16" t="s">
        <v>467</v>
      </c>
      <c r="P113" s="12">
        <v>3.2399999999999998E-2</v>
      </c>
      <c r="Q113" s="12">
        <f t="shared" ref="Q113" si="49">P113*N113</f>
        <v>0.64799999999999991</v>
      </c>
      <c r="R113" s="11"/>
    </row>
    <row r="114" spans="1:18" x14ac:dyDescent="0.25">
      <c r="A114" s="1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 t="shared" si="42"/>
        <v>10</v>
      </c>
      <c r="N114" s="5">
        <v>100</v>
      </c>
      <c r="O114" s="16" t="s">
        <v>467</v>
      </c>
      <c r="P114" s="6">
        <v>5.0000000000000001E-4</v>
      </c>
      <c r="Q114" s="6">
        <f>P114*N114</f>
        <v>0.05</v>
      </c>
      <c r="R114" s="5"/>
    </row>
    <row r="115" spans="1:18" x14ac:dyDescent="0.25">
      <c r="A115" s="1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5">
        <f t="shared" si="42"/>
        <v>20</v>
      </c>
      <c r="N115" s="5">
        <v>100</v>
      </c>
      <c r="O115" s="16" t="s">
        <v>467</v>
      </c>
      <c r="P115" s="6">
        <v>6.9999999999999999E-4</v>
      </c>
      <c r="Q115" s="12">
        <f t="shared" ref="Q115" si="50">P115*N115</f>
        <v>6.9999999999999993E-2</v>
      </c>
      <c r="R115" s="11"/>
    </row>
    <row r="116" spans="1:18" x14ac:dyDescent="0.25">
      <c r="A116" s="1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 t="shared" si="42"/>
        <v>10</v>
      </c>
      <c r="N116" s="11">
        <v>100</v>
      </c>
      <c r="O116" s="21" t="s">
        <v>467</v>
      </c>
      <c r="P116" s="12">
        <v>1.2999999999999999E-3</v>
      </c>
      <c r="Q116" s="6">
        <f>P116*N116</f>
        <v>0.13</v>
      </c>
      <c r="R116" s="5"/>
    </row>
    <row r="117" spans="1:18" x14ac:dyDescent="0.25">
      <c r="A117" s="1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5">
        <f t="shared" si="42"/>
        <v>20</v>
      </c>
      <c r="N117" s="5">
        <v>100</v>
      </c>
      <c r="O117" s="16" t="s">
        <v>467</v>
      </c>
      <c r="P117" s="6">
        <v>1.1999999999999999E-3</v>
      </c>
      <c r="Q117" s="12">
        <f t="shared" ref="Q117" si="51">P117*N117</f>
        <v>0.12</v>
      </c>
      <c r="R117" s="11"/>
    </row>
    <row r="118" spans="1:18" x14ac:dyDescent="0.25">
      <c r="A118" s="1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 t="shared" si="42"/>
        <v>10</v>
      </c>
      <c r="N118" s="11">
        <v>20</v>
      </c>
      <c r="O118" s="16" t="s">
        <v>467</v>
      </c>
      <c r="P118" s="12">
        <v>2.4299999999999999E-2</v>
      </c>
      <c r="Q118" s="6">
        <f>P118*N118</f>
        <v>0.48599999999999999</v>
      </c>
      <c r="R118" s="5"/>
    </row>
    <row r="119" spans="1:18" x14ac:dyDescent="0.25">
      <c r="A119" s="1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5">
        <f t="shared" si="42"/>
        <v>20</v>
      </c>
      <c r="N119" s="5">
        <v>100</v>
      </c>
      <c r="O119" s="16" t="s">
        <v>467</v>
      </c>
      <c r="P119" s="6">
        <v>3.5999999999999999E-3</v>
      </c>
      <c r="Q119" s="12">
        <f t="shared" ref="Q119" si="52">P119*N119</f>
        <v>0.36</v>
      </c>
      <c r="R119" s="11"/>
    </row>
    <row r="120" spans="1:18" x14ac:dyDescent="0.25">
      <c r="A120" s="1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 t="shared" si="42"/>
        <v>10</v>
      </c>
      <c r="N120" s="11">
        <v>100</v>
      </c>
      <c r="O120" s="16" t="s">
        <v>467</v>
      </c>
      <c r="P120" s="12">
        <v>1.1999999999999999E-3</v>
      </c>
      <c r="Q120" s="6">
        <f>P120*N120</f>
        <v>0.12</v>
      </c>
      <c r="R120" s="5"/>
    </row>
    <row r="121" spans="1:18" x14ac:dyDescent="0.25">
      <c r="A121" s="1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5">
        <f t="shared" si="42"/>
        <v>10</v>
      </c>
      <c r="N121" s="5">
        <v>20</v>
      </c>
      <c r="O121" s="16" t="s">
        <v>467</v>
      </c>
      <c r="P121" s="6">
        <v>2.07E-2</v>
      </c>
      <c r="Q121" s="12">
        <f t="shared" ref="Q121" si="53">P121*N121</f>
        <v>0.41399999999999998</v>
      </c>
      <c r="R121" s="11"/>
    </row>
    <row r="122" spans="1:18" x14ac:dyDescent="0.25">
      <c r="A122" s="1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 t="shared" si="42"/>
        <v>10</v>
      </c>
      <c r="N122" s="11">
        <v>11</v>
      </c>
      <c r="O122" s="16" t="s">
        <v>467</v>
      </c>
      <c r="P122" s="12">
        <v>0.36249999999999999</v>
      </c>
      <c r="Q122" s="6">
        <f>P122*N122</f>
        <v>3.9874999999999998</v>
      </c>
      <c r="R122" s="5"/>
    </row>
    <row r="123" spans="1:18" x14ac:dyDescent="0.25">
      <c r="A123" s="1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5">
        <f t="shared" si="42"/>
        <v>10</v>
      </c>
      <c r="N123" s="11">
        <v>11</v>
      </c>
      <c r="O123" s="16" t="s">
        <v>467</v>
      </c>
      <c r="P123" s="12">
        <v>0.61419999999999997</v>
      </c>
      <c r="Q123" s="12">
        <f t="shared" ref="Q123:Q124" si="54">P123*N123</f>
        <v>6.7561999999999998</v>
      </c>
      <c r="R123" s="11"/>
    </row>
    <row r="124" spans="1:18" ht="48.75" thickBot="1" x14ac:dyDescent="0.3">
      <c r="A124" s="1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5">
        <f t="shared" si="42"/>
        <v>10</v>
      </c>
      <c r="N124" s="5">
        <v>10</v>
      </c>
      <c r="O124" s="16" t="s">
        <v>945</v>
      </c>
      <c r="P124" s="6">
        <v>15.4</v>
      </c>
      <c r="Q124" s="12">
        <f t="shared" si="54"/>
        <v>154</v>
      </c>
      <c r="R124" s="11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5" t="s">
        <v>1</v>
      </c>
      <c r="O125" s="26"/>
      <c r="P125" s="26"/>
      <c r="Q125" s="9">
        <f>SUM(Q100:Q124)</f>
        <v>189.45670000000001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5" t="s">
        <v>2</v>
      </c>
      <c r="O126" s="26"/>
      <c r="P126" s="26"/>
      <c r="Q126" s="10">
        <f>Q125/10</f>
        <v>18.94567</v>
      </c>
      <c r="R126" s="1"/>
    </row>
    <row r="127" spans="1:18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26.25" x14ac:dyDescent="0.25">
      <c r="A128" s="1"/>
      <c r="B128" s="2"/>
      <c r="C128" s="2"/>
      <c r="D128" s="22"/>
      <c r="E128" s="22"/>
      <c r="F128" s="22"/>
      <c r="G128" s="27" t="s">
        <v>581</v>
      </c>
      <c r="H128" s="27"/>
      <c r="I128" s="27"/>
      <c r="J128" s="22"/>
      <c r="K128" s="23"/>
      <c r="L128" s="23"/>
      <c r="M128" s="23"/>
      <c r="N128" s="23"/>
      <c r="O128" s="23"/>
      <c r="P128" s="23"/>
      <c r="Q128" s="23"/>
      <c r="R128" s="23"/>
    </row>
    <row r="129" spans="1:18" ht="15.75" thickBot="1" x14ac:dyDescent="0.3">
      <c r="A129" s="1"/>
      <c r="B129" s="2"/>
      <c r="C129" s="2"/>
      <c r="D129" s="22"/>
      <c r="E129" s="22"/>
      <c r="F129" s="22"/>
      <c r="G129" s="22"/>
      <c r="H129" s="22"/>
      <c r="I129" s="22"/>
      <c r="J129" s="22"/>
      <c r="K129" s="23"/>
      <c r="L129" s="23"/>
      <c r="M129" s="23"/>
      <c r="N129" s="23"/>
      <c r="O129" s="23"/>
      <c r="P129" s="23"/>
      <c r="Q129" s="23"/>
      <c r="R129" s="23"/>
    </row>
    <row r="130" spans="1:18" ht="15.75" thickBot="1" x14ac:dyDescent="0.3">
      <c r="A130" s="1"/>
      <c r="B130" s="4" t="s">
        <v>0</v>
      </c>
      <c r="C130" s="4" t="s">
        <v>3</v>
      </c>
      <c r="D130" s="4" t="s">
        <v>16</v>
      </c>
      <c r="E130" s="4" t="s">
        <v>106</v>
      </c>
      <c r="F130" s="4" t="s">
        <v>190</v>
      </c>
      <c r="G130" s="4" t="s">
        <v>220</v>
      </c>
      <c r="H130" s="4" t="s">
        <v>298</v>
      </c>
      <c r="I130" s="4" t="s">
        <v>459</v>
      </c>
      <c r="J130" s="4" t="s">
        <v>327</v>
      </c>
      <c r="K130" s="4" t="s">
        <v>460</v>
      </c>
      <c r="L130" s="4" t="s">
        <v>458</v>
      </c>
      <c r="M130" s="4" t="s">
        <v>946</v>
      </c>
      <c r="N130" s="4" t="s">
        <v>947</v>
      </c>
      <c r="O130" s="4" t="s">
        <v>463</v>
      </c>
      <c r="P130" s="4" t="s">
        <v>948</v>
      </c>
      <c r="Q130" s="4" t="s">
        <v>949</v>
      </c>
      <c r="R130" s="4" t="s">
        <v>466</v>
      </c>
    </row>
    <row r="131" spans="1:18" x14ac:dyDescent="0.25">
      <c r="A131" s="1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L131*10</f>
        <v>60</v>
      </c>
      <c r="N131" s="5">
        <v>100</v>
      </c>
      <c r="O131" s="16" t="s">
        <v>467</v>
      </c>
      <c r="P131" s="6">
        <v>4.8999999999999998E-3</v>
      </c>
      <c r="Q131" s="6">
        <f>P131*N131</f>
        <v>0.49</v>
      </c>
      <c r="R131" s="5"/>
    </row>
    <row r="132" spans="1:18" x14ac:dyDescent="0.25">
      <c r="A132" s="1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5">
        <f t="shared" ref="M132:M181" si="55">L132*10</f>
        <v>60</v>
      </c>
      <c r="N132" s="11">
        <v>100</v>
      </c>
      <c r="O132" s="16" t="s">
        <v>467</v>
      </c>
      <c r="P132" s="12">
        <v>3.8999999999999998E-3</v>
      </c>
      <c r="Q132" s="12">
        <f t="shared" ref="Q132" si="56">P132*N132</f>
        <v>0.38999999999999996</v>
      </c>
      <c r="R132" s="11"/>
    </row>
    <row r="133" spans="1:18" ht="48" x14ac:dyDescent="0.25">
      <c r="A133" s="1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 t="shared" si="55"/>
        <v>230</v>
      </c>
      <c r="N133" s="5">
        <v>300</v>
      </c>
      <c r="O133" s="16" t="s">
        <v>467</v>
      </c>
      <c r="P133" s="6">
        <v>1E-3</v>
      </c>
      <c r="Q133" s="6">
        <f>P133*N133</f>
        <v>0.3</v>
      </c>
      <c r="R133" s="5"/>
    </row>
    <row r="134" spans="1:18" x14ac:dyDescent="0.25">
      <c r="A134" s="1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5">
        <f t="shared" si="55"/>
        <v>50</v>
      </c>
      <c r="N134" s="11">
        <v>100</v>
      </c>
      <c r="O134" s="16" t="s">
        <v>467</v>
      </c>
      <c r="P134" s="12">
        <v>1.21E-2</v>
      </c>
      <c r="Q134" s="12">
        <f t="shared" ref="Q134" si="57">P134*N134</f>
        <v>1.21</v>
      </c>
      <c r="R134" s="11"/>
    </row>
    <row r="135" spans="1:18" x14ac:dyDescent="0.25">
      <c r="A135" s="1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 t="shared" si="55"/>
        <v>40</v>
      </c>
      <c r="N135" s="11">
        <v>100</v>
      </c>
      <c r="O135" s="16" t="s">
        <v>467</v>
      </c>
      <c r="P135" s="12">
        <v>8.9999999999999998E-4</v>
      </c>
      <c r="Q135" s="6">
        <f>P135*N135</f>
        <v>0.09</v>
      </c>
      <c r="R135" s="5"/>
    </row>
    <row r="136" spans="1:18" x14ac:dyDescent="0.25">
      <c r="A136" s="1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 t="shared" si="55"/>
        <v>10</v>
      </c>
      <c r="N136" s="11">
        <v>100</v>
      </c>
      <c r="O136" s="16" t="s">
        <v>467</v>
      </c>
      <c r="P136" s="12">
        <v>5.4000000000000003E-3</v>
      </c>
      <c r="Q136" s="6">
        <f>P136*N136</f>
        <v>0.54</v>
      </c>
      <c r="R136" s="5"/>
    </row>
    <row r="137" spans="1:18" x14ac:dyDescent="0.25">
      <c r="A137" s="1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5">
        <f t="shared" si="55"/>
        <v>20</v>
      </c>
      <c r="N137" s="11">
        <v>100</v>
      </c>
      <c r="O137" s="16" t="s">
        <v>467</v>
      </c>
      <c r="P137" s="12">
        <v>1E-3</v>
      </c>
      <c r="Q137" s="12">
        <f t="shared" ref="Q137" si="58">P137*N137</f>
        <v>0.1</v>
      </c>
      <c r="R137" s="11"/>
    </row>
    <row r="138" spans="1:18" x14ac:dyDescent="0.25">
      <c r="A138" s="1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 t="shared" si="55"/>
        <v>10</v>
      </c>
      <c r="N138" s="5">
        <v>11</v>
      </c>
      <c r="O138" s="16" t="s">
        <v>467</v>
      </c>
      <c r="P138" s="6">
        <v>1.3270999999999999</v>
      </c>
      <c r="Q138" s="6">
        <f>P138*N138</f>
        <v>14.598099999999999</v>
      </c>
      <c r="R138" s="5"/>
    </row>
    <row r="139" spans="1:18" x14ac:dyDescent="0.25">
      <c r="A139" s="1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5">
        <f t="shared" si="55"/>
        <v>40</v>
      </c>
      <c r="N139" s="11">
        <v>50</v>
      </c>
      <c r="O139" s="16" t="s">
        <v>467</v>
      </c>
      <c r="P139" s="12">
        <v>3.9300000000000002E-2</v>
      </c>
      <c r="Q139" s="12">
        <f t="shared" ref="Q139" si="59">P139*N139</f>
        <v>1.9650000000000001</v>
      </c>
      <c r="R139" s="11"/>
    </row>
    <row r="140" spans="1:18" x14ac:dyDescent="0.25">
      <c r="A140" s="1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 t="shared" si="55"/>
        <v>10</v>
      </c>
      <c r="N140" s="5">
        <v>20</v>
      </c>
      <c r="O140" s="16" t="s">
        <v>467</v>
      </c>
      <c r="P140" s="6">
        <v>3.5900000000000001E-2</v>
      </c>
      <c r="Q140" s="6">
        <f>P140*N140</f>
        <v>0.71799999999999997</v>
      </c>
      <c r="R140" s="5"/>
    </row>
    <row r="141" spans="1:18" ht="36" x14ac:dyDescent="0.25">
      <c r="A141" s="1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5">
        <f t="shared" si="55"/>
        <v>20</v>
      </c>
      <c r="N141" s="11">
        <v>100</v>
      </c>
      <c r="O141" s="16" t="s">
        <v>467</v>
      </c>
      <c r="P141" s="12">
        <v>5.5999999999999999E-3</v>
      </c>
      <c r="Q141" s="12">
        <f t="shared" ref="Q141" si="60">P141*N141</f>
        <v>0.55999999999999994</v>
      </c>
      <c r="R141" s="11"/>
    </row>
    <row r="142" spans="1:18" ht="24" x14ac:dyDescent="0.25">
      <c r="A142" s="1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 t="shared" si="55"/>
        <v>120</v>
      </c>
      <c r="N142" s="5">
        <v>140</v>
      </c>
      <c r="O142" s="16" t="s">
        <v>467</v>
      </c>
      <c r="P142" s="6">
        <v>2.23E-2</v>
      </c>
      <c r="Q142" s="6">
        <f>P142*N142</f>
        <v>3.1219999999999999</v>
      </c>
      <c r="R142" s="5"/>
    </row>
    <row r="143" spans="1:18" x14ac:dyDescent="0.25">
      <c r="A143" s="1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5">
        <f t="shared" si="55"/>
        <v>30</v>
      </c>
      <c r="N143" s="5">
        <v>40</v>
      </c>
      <c r="O143" s="16" t="s">
        <v>467</v>
      </c>
      <c r="P143" s="6">
        <v>0.14269999999999999</v>
      </c>
      <c r="Q143" s="12">
        <f t="shared" ref="Q143" si="61">P143*N143</f>
        <v>5.7080000000000002</v>
      </c>
      <c r="R143" s="11"/>
    </row>
    <row r="144" spans="1:18" x14ac:dyDescent="0.25">
      <c r="A144" s="1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 t="shared" si="55"/>
        <v>10</v>
      </c>
      <c r="N144" s="5">
        <v>20</v>
      </c>
      <c r="O144" s="16" t="s">
        <v>467</v>
      </c>
      <c r="P144" s="6">
        <v>0.13059999999999999</v>
      </c>
      <c r="Q144" s="6">
        <f>P144*N144</f>
        <v>2.6120000000000001</v>
      </c>
      <c r="R144" s="5"/>
    </row>
    <row r="145" spans="1:18" ht="24" x14ac:dyDescent="0.25">
      <c r="A145" s="1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5">
        <f t="shared" si="55"/>
        <v>20</v>
      </c>
      <c r="N145" s="5">
        <v>100</v>
      </c>
      <c r="O145" s="16" t="s">
        <v>467</v>
      </c>
      <c r="P145" s="6">
        <v>4.7000000000000002E-3</v>
      </c>
      <c r="Q145" s="12">
        <f t="shared" ref="Q145" si="62">P145*N145</f>
        <v>0.47000000000000003</v>
      </c>
      <c r="R145" s="11"/>
    </row>
    <row r="146" spans="1:18" x14ac:dyDescent="0.25">
      <c r="A146" s="1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 t="shared" si="55"/>
        <v>70</v>
      </c>
      <c r="N146" s="11">
        <v>71</v>
      </c>
      <c r="O146" s="16" t="s">
        <v>474</v>
      </c>
      <c r="P146" s="12">
        <v>6.3519999999999993E-2</v>
      </c>
      <c r="Q146" s="6">
        <f>P146*N146</f>
        <v>4.5099199999999993</v>
      </c>
      <c r="R146" s="5"/>
    </row>
    <row r="147" spans="1:18" ht="36" x14ac:dyDescent="0.25">
      <c r="A147" s="1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 t="shared" si="55"/>
        <v>10</v>
      </c>
      <c r="N147" s="5">
        <v>11</v>
      </c>
      <c r="O147" s="15" t="s">
        <v>651</v>
      </c>
      <c r="P147" s="6">
        <v>13.069800000000001</v>
      </c>
      <c r="Q147" s="6">
        <f>P147*N147</f>
        <v>143.76780000000002</v>
      </c>
      <c r="R147" s="5"/>
    </row>
    <row r="148" spans="1:18" x14ac:dyDescent="0.25">
      <c r="A148" s="1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5">
        <f t="shared" si="55"/>
        <v>10</v>
      </c>
      <c r="N148" s="11">
        <v>11</v>
      </c>
      <c r="O148" s="16" t="s">
        <v>467</v>
      </c>
      <c r="P148" s="12">
        <v>1.5605</v>
      </c>
      <c r="Q148" s="12">
        <f t="shared" ref="Q148" si="63">P148*N148</f>
        <v>17.165500000000002</v>
      </c>
      <c r="R148" s="11"/>
    </row>
    <row r="149" spans="1:18" x14ac:dyDescent="0.25">
      <c r="A149" s="1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 t="shared" si="55"/>
        <v>10</v>
      </c>
      <c r="N149" s="5">
        <v>11</v>
      </c>
      <c r="O149" s="16" t="s">
        <v>467</v>
      </c>
      <c r="P149" s="6">
        <v>0.37419999999999998</v>
      </c>
      <c r="Q149" s="6">
        <f>P149*N149</f>
        <v>4.1162000000000001</v>
      </c>
      <c r="R149" s="5"/>
    </row>
    <row r="150" spans="1:18" ht="24" x14ac:dyDescent="0.25">
      <c r="A150" s="1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5">
        <f t="shared" si="55"/>
        <v>20</v>
      </c>
      <c r="N150" s="11">
        <v>21</v>
      </c>
      <c r="O150" s="16" t="s">
        <v>651</v>
      </c>
      <c r="P150" s="12">
        <v>4.0247999999999999</v>
      </c>
      <c r="Q150" s="12">
        <f t="shared" ref="Q150" si="64">P150*N150</f>
        <v>84.520799999999994</v>
      </c>
      <c r="R150" s="11"/>
    </row>
    <row r="151" spans="1:18" x14ac:dyDescent="0.25">
      <c r="A151" s="1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 t="shared" si="55"/>
        <v>40</v>
      </c>
      <c r="N151" s="5">
        <v>60</v>
      </c>
      <c r="O151" s="16" t="s">
        <v>467</v>
      </c>
      <c r="P151" s="6">
        <v>2.9100000000000001E-2</v>
      </c>
      <c r="Q151" s="6">
        <f>P151*N151</f>
        <v>1.746</v>
      </c>
      <c r="R151" s="5"/>
    </row>
    <row r="152" spans="1:18" x14ac:dyDescent="0.25">
      <c r="A152" s="1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5">
        <f t="shared" si="55"/>
        <v>20</v>
      </c>
      <c r="N152" s="11">
        <v>25</v>
      </c>
      <c r="O152" s="16" t="s">
        <v>467</v>
      </c>
      <c r="P152" s="12">
        <v>0.23430000000000001</v>
      </c>
      <c r="Q152" s="12">
        <f t="shared" ref="Q152" si="65">P152*N152</f>
        <v>5.8574999999999999</v>
      </c>
      <c r="R152" s="11"/>
    </row>
    <row r="153" spans="1:18" x14ac:dyDescent="0.25">
      <c r="A153" s="1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 t="shared" si="55"/>
        <v>40</v>
      </c>
      <c r="N153" s="5">
        <v>100</v>
      </c>
      <c r="O153" s="16" t="s">
        <v>467</v>
      </c>
      <c r="P153" s="6">
        <v>5.9999999999999995E-4</v>
      </c>
      <c r="Q153" s="6">
        <f>P153*N153</f>
        <v>0.06</v>
      </c>
      <c r="R153" s="5"/>
    </row>
    <row r="154" spans="1:18" x14ac:dyDescent="0.25">
      <c r="A154" s="1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5">
        <f t="shared" si="55"/>
        <v>10</v>
      </c>
      <c r="N154" s="5">
        <v>100</v>
      </c>
      <c r="O154" s="16" t="s">
        <v>467</v>
      </c>
      <c r="P154" s="6">
        <v>5.0000000000000001E-4</v>
      </c>
      <c r="Q154" s="12">
        <f t="shared" ref="Q154" si="66">P154*N154</f>
        <v>0.05</v>
      </c>
      <c r="R154" s="11"/>
    </row>
    <row r="155" spans="1:18" ht="24" x14ac:dyDescent="0.25">
      <c r="A155" s="1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 t="shared" si="55"/>
        <v>80</v>
      </c>
      <c r="N155" s="11">
        <v>100</v>
      </c>
      <c r="O155" s="16" t="s">
        <v>467</v>
      </c>
      <c r="P155" s="12">
        <v>5.9999999999999995E-4</v>
      </c>
      <c r="Q155" s="6">
        <f>P155*N155</f>
        <v>0.06</v>
      </c>
      <c r="R155" s="5"/>
    </row>
    <row r="156" spans="1:18" x14ac:dyDescent="0.25">
      <c r="A156" s="1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5">
        <f t="shared" si="55"/>
        <v>10</v>
      </c>
      <c r="N156" s="11">
        <v>100</v>
      </c>
      <c r="O156" s="16" t="s">
        <v>467</v>
      </c>
      <c r="P156" s="12">
        <v>6.9999999999999999E-4</v>
      </c>
      <c r="Q156" s="12">
        <f t="shared" ref="Q156" si="67">P156*N156</f>
        <v>6.9999999999999993E-2</v>
      </c>
      <c r="R156" s="11"/>
    </row>
    <row r="157" spans="1:18" x14ac:dyDescent="0.25">
      <c r="A157" s="1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 t="shared" si="55"/>
        <v>10</v>
      </c>
      <c r="N157" s="5">
        <v>100</v>
      </c>
      <c r="O157" s="16" t="s">
        <v>467</v>
      </c>
      <c r="P157" s="6">
        <v>5.9999999999999995E-4</v>
      </c>
      <c r="Q157" s="6">
        <f>P157*N157</f>
        <v>0.06</v>
      </c>
      <c r="R157" s="5"/>
    </row>
    <row r="158" spans="1:18" ht="60" x14ac:dyDescent="0.25">
      <c r="A158" s="1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5">
        <f t="shared" si="55"/>
        <v>240</v>
      </c>
      <c r="N158" s="11">
        <v>300</v>
      </c>
      <c r="O158" s="16" t="s">
        <v>467</v>
      </c>
      <c r="P158" s="12">
        <v>5.9999999999999995E-4</v>
      </c>
      <c r="Q158" s="12">
        <f t="shared" ref="Q158" si="68">P158*N158</f>
        <v>0.18</v>
      </c>
      <c r="R158" s="11"/>
    </row>
    <row r="159" spans="1:18" x14ac:dyDescent="0.25">
      <c r="A159" s="1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 t="shared" si="55"/>
        <v>40</v>
      </c>
      <c r="N159" s="11">
        <v>100</v>
      </c>
      <c r="O159" s="16" t="s">
        <v>467</v>
      </c>
      <c r="P159" s="12">
        <v>6.9999999999999999E-4</v>
      </c>
      <c r="Q159" s="6">
        <f>P159*N159</f>
        <v>6.9999999999999993E-2</v>
      </c>
      <c r="R159" s="5"/>
    </row>
    <row r="160" spans="1:18" x14ac:dyDescent="0.25">
      <c r="A160" s="1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5">
        <f t="shared" si="55"/>
        <v>60</v>
      </c>
      <c r="N160" s="5">
        <v>100</v>
      </c>
      <c r="O160" s="16" t="s">
        <v>467</v>
      </c>
      <c r="P160" s="6">
        <v>6.9999999999999999E-4</v>
      </c>
      <c r="Q160" s="12">
        <f t="shared" ref="Q160" si="69">P160*N160</f>
        <v>6.9999999999999993E-2</v>
      </c>
      <c r="R160" s="11"/>
    </row>
    <row r="161" spans="1:18" x14ac:dyDescent="0.25">
      <c r="A161" s="1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28">
        <f t="shared" si="55"/>
        <v>10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ht="36" x14ac:dyDescent="0.25">
      <c r="A162" s="1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5">
        <f t="shared" si="55"/>
        <v>120</v>
      </c>
      <c r="N162" s="5">
        <v>200</v>
      </c>
      <c r="O162" s="16" t="s">
        <v>467</v>
      </c>
      <c r="P162" s="6">
        <v>5.9999999999999995E-4</v>
      </c>
      <c r="Q162" s="12">
        <f t="shared" ref="Q162" si="70">P162*N162</f>
        <v>0.12</v>
      </c>
      <c r="R162" s="11"/>
    </row>
    <row r="163" spans="1:18" x14ac:dyDescent="0.25">
      <c r="A163" s="1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 t="shared" si="55"/>
        <v>20</v>
      </c>
      <c r="N163" s="11">
        <v>100</v>
      </c>
      <c r="O163" s="16" t="s">
        <v>467</v>
      </c>
      <c r="P163" s="12">
        <v>1.1999999999999999E-3</v>
      </c>
      <c r="Q163" s="6">
        <f>P163*N163</f>
        <v>0.12</v>
      </c>
      <c r="R163" s="5"/>
    </row>
    <row r="164" spans="1:18" x14ac:dyDescent="0.25">
      <c r="A164" s="1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5">
        <f t="shared" si="55"/>
        <v>40</v>
      </c>
      <c r="N164" s="5">
        <v>50</v>
      </c>
      <c r="O164" s="16" t="s">
        <v>467</v>
      </c>
      <c r="P164" s="6">
        <v>2.0199999999999999E-2</v>
      </c>
      <c r="Q164" s="12">
        <f t="shared" ref="Q164" si="71">P164*N164</f>
        <v>1.01</v>
      </c>
      <c r="R164" s="11"/>
    </row>
    <row r="165" spans="1:18" x14ac:dyDescent="0.25">
      <c r="A165" s="1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 t="shared" si="55"/>
        <v>10</v>
      </c>
      <c r="N165" s="11">
        <v>20</v>
      </c>
      <c r="O165" s="16" t="s">
        <v>467</v>
      </c>
      <c r="P165" s="12">
        <v>2.0899999999999998E-2</v>
      </c>
      <c r="Q165" s="6">
        <f>P165*N165</f>
        <v>0.41799999999999998</v>
      </c>
      <c r="R165" s="5"/>
    </row>
    <row r="166" spans="1:18" x14ac:dyDescent="0.25">
      <c r="A166" s="1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5">
        <f t="shared" si="55"/>
        <v>20</v>
      </c>
      <c r="N166" s="5">
        <v>25</v>
      </c>
      <c r="O166" s="16" t="s">
        <v>467</v>
      </c>
      <c r="P166" s="6">
        <v>8.4599999999999995E-2</v>
      </c>
      <c r="Q166" s="12">
        <f t="shared" ref="Q166" si="72">P166*N166</f>
        <v>2.1149999999999998</v>
      </c>
      <c r="R166" s="11"/>
    </row>
    <row r="167" spans="1:18" ht="36" x14ac:dyDescent="0.25">
      <c r="A167" s="1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28">
        <f t="shared" si="55"/>
        <v>10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x14ac:dyDescent="0.25">
      <c r="A168" s="1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28">
        <f t="shared" si="55"/>
        <v>10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ht="36" x14ac:dyDescent="0.25">
      <c r="A169" s="1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 t="shared" si="55"/>
        <v>10</v>
      </c>
      <c r="N169" s="5">
        <v>100</v>
      </c>
      <c r="O169" s="16" t="s">
        <v>467</v>
      </c>
      <c r="P169" s="6">
        <v>1E-3</v>
      </c>
      <c r="Q169" s="6">
        <f>P169*N169</f>
        <v>0.1</v>
      </c>
      <c r="R169" s="5"/>
    </row>
    <row r="170" spans="1:18" x14ac:dyDescent="0.25">
      <c r="A170" s="1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5">
        <f t="shared" si="55"/>
        <v>10</v>
      </c>
      <c r="N170" s="11">
        <v>100</v>
      </c>
      <c r="O170" s="16" t="s">
        <v>467</v>
      </c>
      <c r="P170" s="12">
        <v>1.1999999999999999E-3</v>
      </c>
      <c r="Q170" s="12">
        <f t="shared" ref="Q170" si="73">P170*N170</f>
        <v>0.12</v>
      </c>
      <c r="R170" s="11"/>
    </row>
    <row r="171" spans="1:18" x14ac:dyDescent="0.25">
      <c r="A171" s="1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 t="shared" si="55"/>
        <v>50</v>
      </c>
      <c r="N171" s="11">
        <v>100</v>
      </c>
      <c r="O171" s="16" t="s">
        <v>467</v>
      </c>
      <c r="P171" s="12">
        <v>1.1999999999999999E-3</v>
      </c>
      <c r="Q171" s="6">
        <f>P171*N171</f>
        <v>0.12</v>
      </c>
      <c r="R171" s="5"/>
    </row>
    <row r="172" spans="1:18" x14ac:dyDescent="0.25">
      <c r="A172" s="1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5">
        <f t="shared" si="55"/>
        <v>10</v>
      </c>
      <c r="N172" s="5">
        <v>100</v>
      </c>
      <c r="O172" s="16" t="s">
        <v>467</v>
      </c>
      <c r="P172" s="6">
        <v>2E-3</v>
      </c>
      <c r="Q172" s="12">
        <f t="shared" ref="Q172" si="74">P172*N172</f>
        <v>0.2</v>
      </c>
      <c r="R172" s="11"/>
    </row>
    <row r="173" spans="1:18" x14ac:dyDescent="0.25">
      <c r="A173" s="1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 t="shared" si="55"/>
        <v>10</v>
      </c>
      <c r="N173" s="11">
        <v>20</v>
      </c>
      <c r="O173" s="16" t="s">
        <v>467</v>
      </c>
      <c r="P173" s="12">
        <v>2.4199999999999999E-2</v>
      </c>
      <c r="Q173" s="6">
        <f>P173*N173</f>
        <v>0.48399999999999999</v>
      </c>
      <c r="R173" s="5"/>
    </row>
    <row r="174" spans="1:18" x14ac:dyDescent="0.25">
      <c r="A174" s="1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5">
        <f t="shared" si="55"/>
        <v>10</v>
      </c>
      <c r="N174" s="5">
        <v>20</v>
      </c>
      <c r="O174" s="16" t="s">
        <v>467</v>
      </c>
      <c r="P174" s="6">
        <v>0.30790000000000001</v>
      </c>
      <c r="Q174" s="12">
        <f t="shared" ref="Q174" si="75">P174*N174</f>
        <v>6.1580000000000004</v>
      </c>
      <c r="R174" s="11"/>
    </row>
    <row r="175" spans="1:18" x14ac:dyDescent="0.25">
      <c r="A175" s="1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 t="shared" si="55"/>
        <v>10</v>
      </c>
      <c r="N175" s="11">
        <v>100</v>
      </c>
      <c r="O175" s="16" t="s">
        <v>467</v>
      </c>
      <c r="P175" s="12">
        <v>1E-3</v>
      </c>
      <c r="Q175" s="6">
        <f>P175*N175</f>
        <v>0.1</v>
      </c>
      <c r="R175" s="5"/>
    </row>
    <row r="176" spans="1:18" x14ac:dyDescent="0.25">
      <c r="A176" s="1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5">
        <f t="shared" si="55"/>
        <v>10</v>
      </c>
      <c r="N176" s="11">
        <v>100</v>
      </c>
      <c r="O176" s="16" t="s">
        <v>467</v>
      </c>
      <c r="P176" s="12">
        <v>5.9999999999999995E-4</v>
      </c>
      <c r="Q176" s="12">
        <f t="shared" ref="Q176" si="76">P176*N176</f>
        <v>0.06</v>
      </c>
      <c r="R176" s="11"/>
    </row>
    <row r="177" spans="1:18" x14ac:dyDescent="0.25">
      <c r="A177" s="1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 t="shared" si="55"/>
        <v>10</v>
      </c>
      <c r="N177" s="5">
        <v>11</v>
      </c>
      <c r="O177" s="15" t="s">
        <v>651</v>
      </c>
      <c r="P177" s="6">
        <v>10.472</v>
      </c>
      <c r="Q177" s="6">
        <f>P177*N177</f>
        <v>115.19199999999999</v>
      </c>
      <c r="R177" s="5"/>
    </row>
    <row r="178" spans="1:18" x14ac:dyDescent="0.25">
      <c r="A178" s="1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5">
        <f t="shared" si="55"/>
        <v>10</v>
      </c>
      <c r="N178" s="5">
        <v>11</v>
      </c>
      <c r="O178" s="16" t="s">
        <v>467</v>
      </c>
      <c r="P178" s="6">
        <v>2.5442</v>
      </c>
      <c r="Q178" s="12">
        <f t="shared" ref="Q178" si="77">P178*N178</f>
        <v>27.9862</v>
      </c>
      <c r="R178" s="11"/>
    </row>
    <row r="179" spans="1:18" x14ac:dyDescent="0.25">
      <c r="A179" s="1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 t="shared" si="55"/>
        <v>10</v>
      </c>
      <c r="N179" s="5">
        <v>11</v>
      </c>
      <c r="O179" s="15" t="s">
        <v>787</v>
      </c>
      <c r="P179" s="6">
        <v>9.81</v>
      </c>
      <c r="Q179" s="6">
        <f>P179*N179</f>
        <v>107.91000000000001</v>
      </c>
      <c r="R179" s="5"/>
    </row>
    <row r="180" spans="1:18" x14ac:dyDescent="0.25">
      <c r="A180" s="1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5">
        <f t="shared" si="55"/>
        <v>10</v>
      </c>
      <c r="N180" s="5">
        <v>11</v>
      </c>
      <c r="O180" s="16" t="s">
        <v>467</v>
      </c>
      <c r="P180" s="6">
        <v>2.9321000000000002</v>
      </c>
      <c r="Q180" s="12">
        <f t="shared" ref="Q180" si="78">P180*N180</f>
        <v>32.253100000000003</v>
      </c>
      <c r="R180" s="11"/>
    </row>
    <row r="181" spans="1:18" ht="15.75" thickBot="1" x14ac:dyDescent="0.3">
      <c r="A181" s="1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 t="shared" si="55"/>
        <v>10</v>
      </c>
      <c r="N181" s="5">
        <v>15</v>
      </c>
      <c r="O181" s="16" t="s">
        <v>467</v>
      </c>
      <c r="P181" s="6">
        <v>0.25950000000000001</v>
      </c>
      <c r="Q181" s="6">
        <f>P181*N181</f>
        <v>3.8925000000000001</v>
      </c>
      <c r="R181" s="5"/>
    </row>
    <row r="182" spans="1:18" ht="19.5" thickBo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5" t="s">
        <v>1</v>
      </c>
      <c r="O182" s="26"/>
      <c r="P182" s="26"/>
      <c r="Q182" s="9">
        <f>SUM(Q131:Q181)</f>
        <v>593.53562000000011</v>
      </c>
      <c r="R182" s="1"/>
    </row>
    <row r="183" spans="1:18" ht="19.5" thickBo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5" t="s">
        <v>2</v>
      </c>
      <c r="O183" s="26"/>
      <c r="P183" s="26"/>
      <c r="Q183" s="10">
        <f>Q182/10</f>
        <v>59.353562000000011</v>
      </c>
      <c r="R183" s="1"/>
    </row>
    <row r="184" spans="1:18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26.25" x14ac:dyDescent="0.25">
      <c r="A185" s="1"/>
      <c r="B185" s="2"/>
      <c r="C185" s="2"/>
      <c r="D185" s="22"/>
      <c r="E185" s="22"/>
      <c r="F185" s="22"/>
      <c r="G185" s="27" t="s">
        <v>794</v>
      </c>
      <c r="H185" s="27"/>
      <c r="I185" s="27"/>
      <c r="J185" s="22"/>
      <c r="K185" s="23"/>
      <c r="L185" s="23"/>
      <c r="M185" s="23"/>
      <c r="N185" s="23"/>
      <c r="O185" s="23"/>
      <c r="P185" s="23"/>
      <c r="Q185" s="23"/>
      <c r="R185" s="23"/>
    </row>
    <row r="186" spans="1:18" ht="15.75" thickBot="1" x14ac:dyDescent="0.3">
      <c r="A186" s="1"/>
      <c r="B186" s="2"/>
      <c r="C186" s="2"/>
      <c r="D186" s="22"/>
      <c r="E186" s="22"/>
      <c r="F186" s="22"/>
      <c r="G186" s="22"/>
      <c r="H186" s="22"/>
      <c r="I186" s="22"/>
      <c r="J186" s="22"/>
      <c r="K186" s="23"/>
      <c r="L186" s="23"/>
      <c r="M186" s="23"/>
      <c r="N186" s="23"/>
      <c r="O186" s="23"/>
      <c r="P186" s="23"/>
      <c r="Q186" s="23"/>
      <c r="R186" s="23"/>
    </row>
    <row r="187" spans="1:18" ht="15.75" thickBot="1" x14ac:dyDescent="0.3">
      <c r="A187" s="1"/>
      <c r="B187" s="4" t="s">
        <v>0</v>
      </c>
      <c r="C187" s="4" t="s">
        <v>3</v>
      </c>
      <c r="D187" s="4" t="s">
        <v>16</v>
      </c>
      <c r="E187" s="4" t="s">
        <v>106</v>
      </c>
      <c r="F187" s="4" t="s">
        <v>190</v>
      </c>
      <c r="G187" s="4" t="s">
        <v>220</v>
      </c>
      <c r="H187" s="4" t="s">
        <v>298</v>
      </c>
      <c r="I187" s="4" t="s">
        <v>459</v>
      </c>
      <c r="J187" s="4" t="s">
        <v>327</v>
      </c>
      <c r="K187" s="4" t="s">
        <v>460</v>
      </c>
      <c r="L187" s="4" t="s">
        <v>458</v>
      </c>
      <c r="M187" s="4" t="s">
        <v>946</v>
      </c>
      <c r="N187" s="4" t="s">
        <v>947</v>
      </c>
      <c r="O187" s="4" t="s">
        <v>463</v>
      </c>
      <c r="P187" s="4" t="s">
        <v>948</v>
      </c>
      <c r="Q187" s="4" t="s">
        <v>949</v>
      </c>
      <c r="R187" s="4" t="s">
        <v>466</v>
      </c>
    </row>
    <row r="188" spans="1:18" ht="24" x14ac:dyDescent="0.25">
      <c r="A188" s="1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L188*10</f>
        <v>120</v>
      </c>
      <c r="N188" s="5">
        <v>200</v>
      </c>
      <c r="O188" s="16" t="s">
        <v>467</v>
      </c>
      <c r="P188" s="6">
        <v>1.1000000000000001E-3</v>
      </c>
      <c r="Q188" s="6">
        <f>P188*N188</f>
        <v>0.22</v>
      </c>
      <c r="R188" s="5"/>
    </row>
    <row r="189" spans="1:18" x14ac:dyDescent="0.25">
      <c r="A189" s="1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5">
        <f t="shared" ref="M189:M201" si="79">L189*10</f>
        <v>40</v>
      </c>
      <c r="N189" s="5">
        <v>60</v>
      </c>
      <c r="O189" s="15" t="s">
        <v>467</v>
      </c>
      <c r="P189" s="6">
        <v>2.7099999999999999E-2</v>
      </c>
      <c r="Q189" s="12">
        <f t="shared" ref="Q189" si="80">P189*N189</f>
        <v>1.6259999999999999</v>
      </c>
      <c r="R189" s="11"/>
    </row>
    <row r="190" spans="1:18" x14ac:dyDescent="0.25">
      <c r="A190" s="1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 t="shared" si="79"/>
        <v>40</v>
      </c>
      <c r="N190" s="5">
        <v>100</v>
      </c>
      <c r="O190" s="16" t="s">
        <v>467</v>
      </c>
      <c r="P190" s="6">
        <v>1E-3</v>
      </c>
      <c r="Q190" s="6">
        <f>P190*N190</f>
        <v>0.1</v>
      </c>
      <c r="R190" s="5"/>
    </row>
    <row r="191" spans="1:18" ht="24" x14ac:dyDescent="0.25">
      <c r="A191" s="1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5">
        <f t="shared" si="79"/>
        <v>20</v>
      </c>
      <c r="N191" s="11">
        <v>50</v>
      </c>
      <c r="O191" s="16" t="s">
        <v>467</v>
      </c>
      <c r="P191" s="12">
        <v>8.9999999999999993E-3</v>
      </c>
      <c r="Q191" s="12">
        <f t="shared" ref="Q191" si="81">P191*N191</f>
        <v>0.44999999999999996</v>
      </c>
      <c r="R191" s="11"/>
    </row>
    <row r="192" spans="1:18" x14ac:dyDescent="0.25">
      <c r="A192" s="1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 t="shared" si="79"/>
        <v>20</v>
      </c>
      <c r="N192" s="11">
        <v>21</v>
      </c>
      <c r="O192" s="16" t="s">
        <v>467</v>
      </c>
      <c r="P192" s="12">
        <v>0.46650000000000003</v>
      </c>
      <c r="Q192" s="6">
        <f>P192*N192</f>
        <v>9.7965</v>
      </c>
      <c r="R192" s="5"/>
    </row>
    <row r="193" spans="1:18" x14ac:dyDescent="0.25">
      <c r="A193" s="1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5">
        <f t="shared" si="79"/>
        <v>10</v>
      </c>
      <c r="N193" s="11">
        <v>11</v>
      </c>
      <c r="O193" s="16" t="s">
        <v>467</v>
      </c>
      <c r="P193" s="12">
        <v>0.34749999999999998</v>
      </c>
      <c r="Q193" s="12">
        <f t="shared" ref="Q193" si="82">P193*N193</f>
        <v>3.8224999999999998</v>
      </c>
      <c r="R193" s="11"/>
    </row>
    <row r="194" spans="1:18" x14ac:dyDescent="0.25">
      <c r="A194" s="1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 t="shared" si="79"/>
        <v>10</v>
      </c>
      <c r="N194" s="5">
        <v>15</v>
      </c>
      <c r="O194" s="16" t="s">
        <v>467</v>
      </c>
      <c r="P194" s="6">
        <v>0.23949999999999999</v>
      </c>
      <c r="Q194" s="6">
        <f>P194*N194</f>
        <v>3.5924999999999998</v>
      </c>
      <c r="R194" s="5"/>
    </row>
    <row r="195" spans="1:18" x14ac:dyDescent="0.25">
      <c r="A195" s="1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5">
        <f t="shared" si="79"/>
        <v>20</v>
      </c>
      <c r="N195" s="5">
        <v>40</v>
      </c>
      <c r="O195" s="16" t="s">
        <v>467</v>
      </c>
      <c r="P195" s="6">
        <v>2.23E-2</v>
      </c>
      <c r="Q195" s="12">
        <f t="shared" ref="Q195" si="83">P195*N195</f>
        <v>0.89200000000000002</v>
      </c>
      <c r="R195" s="11"/>
    </row>
    <row r="196" spans="1:18" x14ac:dyDescent="0.25">
      <c r="A196" s="1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 t="shared" si="79"/>
        <v>20</v>
      </c>
      <c r="N196" s="11">
        <v>100</v>
      </c>
      <c r="O196" s="16" t="s">
        <v>467</v>
      </c>
      <c r="P196" s="12">
        <v>5.9999999999999995E-4</v>
      </c>
      <c r="Q196" s="6">
        <f>P196*N196</f>
        <v>0.06</v>
      </c>
      <c r="R196" s="5"/>
    </row>
    <row r="197" spans="1:18" x14ac:dyDescent="0.25">
      <c r="A197" s="1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5">
        <f t="shared" si="79"/>
        <v>10</v>
      </c>
      <c r="N197" s="11">
        <v>100</v>
      </c>
      <c r="O197" s="16" t="s">
        <v>467</v>
      </c>
      <c r="P197" s="12">
        <v>5.9999999999999995E-4</v>
      </c>
      <c r="Q197" s="12">
        <f t="shared" ref="Q197" si="84">P197*N197</f>
        <v>0.06</v>
      </c>
      <c r="R197" s="11"/>
    </row>
    <row r="198" spans="1:18" x14ac:dyDescent="0.25">
      <c r="A198" s="1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 t="shared" si="79"/>
        <v>40</v>
      </c>
      <c r="N198" s="5">
        <v>100</v>
      </c>
      <c r="O198" s="16" t="s">
        <v>467</v>
      </c>
      <c r="P198" s="6">
        <v>5.9999999999999995E-4</v>
      </c>
      <c r="Q198" s="6">
        <f>P198*N198</f>
        <v>0.06</v>
      </c>
      <c r="R198" s="5"/>
    </row>
    <row r="199" spans="1:18" ht="24" x14ac:dyDescent="0.25">
      <c r="A199" s="1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5">
        <f t="shared" si="79"/>
        <v>10</v>
      </c>
      <c r="N199" s="5">
        <v>11</v>
      </c>
      <c r="O199" s="16" t="s">
        <v>467</v>
      </c>
      <c r="P199" s="6">
        <v>9.8475000000000001</v>
      </c>
      <c r="Q199" s="12">
        <f t="shared" ref="Q199" si="85">P199*N199</f>
        <v>108.32250000000001</v>
      </c>
      <c r="R199" s="11"/>
    </row>
    <row r="200" spans="1:18" ht="24" x14ac:dyDescent="0.25">
      <c r="A200" s="1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 t="shared" si="79"/>
        <v>20</v>
      </c>
      <c r="N200" s="5">
        <v>25</v>
      </c>
      <c r="O200" s="16" t="s">
        <v>467</v>
      </c>
      <c r="P200" s="6">
        <v>9.1899999999999996E-2</v>
      </c>
      <c r="Q200" s="6">
        <f>P200*N200</f>
        <v>2.2974999999999999</v>
      </c>
      <c r="R200" s="5"/>
    </row>
    <row r="201" spans="1:18" ht="30.75" thickBot="1" x14ac:dyDescent="0.3">
      <c r="A201" s="1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5">
        <f t="shared" si="79"/>
        <v>20</v>
      </c>
      <c r="N201" s="5">
        <v>20</v>
      </c>
      <c r="O201" s="16" t="s">
        <v>941</v>
      </c>
      <c r="P201" s="6">
        <v>30</v>
      </c>
      <c r="Q201" s="12">
        <f t="shared" ref="Q201" si="86">P201*N201</f>
        <v>600</v>
      </c>
      <c r="R201" s="24"/>
    </row>
    <row r="202" spans="1:18" ht="19.5" thickBo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5" t="s">
        <v>1</v>
      </c>
      <c r="O202" s="26"/>
      <c r="P202" s="26"/>
      <c r="Q202" s="9">
        <f>SUM(Q188:Q201)</f>
        <v>731.29950000000008</v>
      </c>
      <c r="R202" s="1"/>
    </row>
    <row r="203" spans="1:18" ht="19.5" thickBo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5" t="s">
        <v>2</v>
      </c>
      <c r="O203" s="26"/>
      <c r="P203" s="26"/>
      <c r="Q203" s="10">
        <f>Q202/10</f>
        <v>73.129950000000008</v>
      </c>
      <c r="R203" s="1"/>
    </row>
    <row r="204" spans="1:18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26.25" x14ac:dyDescent="0.25">
      <c r="A205" s="1"/>
      <c r="B205" s="2"/>
      <c r="C205" s="2"/>
      <c r="D205" s="22"/>
      <c r="E205" s="22"/>
      <c r="F205" s="22"/>
      <c r="G205" s="27" t="s">
        <v>852</v>
      </c>
      <c r="H205" s="27"/>
      <c r="I205" s="27"/>
      <c r="J205" s="22"/>
      <c r="K205" s="23"/>
      <c r="L205" s="23"/>
      <c r="M205" s="23"/>
      <c r="N205" s="23"/>
      <c r="O205" s="23"/>
      <c r="P205" s="23"/>
      <c r="Q205" s="23"/>
      <c r="R205" s="23"/>
    </row>
    <row r="206" spans="1:18" ht="15.75" thickBot="1" x14ac:dyDescent="0.3">
      <c r="A206" s="1"/>
      <c r="B206" s="2"/>
      <c r="C206" s="2"/>
      <c r="D206" s="22"/>
      <c r="E206" s="22"/>
      <c r="F206" s="22"/>
      <c r="G206" s="22"/>
      <c r="H206" s="22"/>
      <c r="I206" s="22"/>
      <c r="J206" s="22"/>
      <c r="K206" s="23"/>
      <c r="L206" s="23"/>
      <c r="M206" s="23"/>
      <c r="N206" s="23"/>
      <c r="O206" s="23"/>
      <c r="P206" s="23"/>
      <c r="Q206" s="23"/>
      <c r="R206" s="23"/>
    </row>
    <row r="207" spans="1:18" ht="15.75" thickBot="1" x14ac:dyDescent="0.3">
      <c r="A207" s="1"/>
      <c r="B207" s="4" t="s">
        <v>0</v>
      </c>
      <c r="C207" s="4" t="s">
        <v>3</v>
      </c>
      <c r="D207" s="4" t="s">
        <v>16</v>
      </c>
      <c r="E207" s="4" t="s">
        <v>106</v>
      </c>
      <c r="F207" s="4" t="s">
        <v>190</v>
      </c>
      <c r="G207" s="4" t="s">
        <v>220</v>
      </c>
      <c r="H207" s="4" t="s">
        <v>298</v>
      </c>
      <c r="I207" s="4" t="s">
        <v>459</v>
      </c>
      <c r="J207" s="4" t="s">
        <v>327</v>
      </c>
      <c r="K207" s="4" t="s">
        <v>460</v>
      </c>
      <c r="L207" s="4" t="s">
        <v>458</v>
      </c>
      <c r="M207" s="4" t="s">
        <v>946</v>
      </c>
      <c r="N207" s="4" t="s">
        <v>947</v>
      </c>
      <c r="O207" s="4" t="s">
        <v>463</v>
      </c>
      <c r="P207" s="4" t="s">
        <v>948</v>
      </c>
      <c r="Q207" s="4" t="s">
        <v>949</v>
      </c>
      <c r="R207" s="4" t="s">
        <v>466</v>
      </c>
    </row>
    <row r="208" spans="1:18" x14ac:dyDescent="0.25">
      <c r="A208" s="1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L208*10</f>
        <v>30</v>
      </c>
      <c r="N208" s="5">
        <v>100</v>
      </c>
      <c r="O208" s="16" t="s">
        <v>467</v>
      </c>
      <c r="P208" s="6">
        <v>2.5999999999999999E-3</v>
      </c>
      <c r="Q208" s="6">
        <f>P208*N208</f>
        <v>0.26</v>
      </c>
      <c r="R208" s="5"/>
    </row>
    <row r="209" spans="1:18" x14ac:dyDescent="0.25">
      <c r="A209" s="1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5">
        <f t="shared" ref="M209:M217" si="87">L209*10</f>
        <v>40</v>
      </c>
      <c r="N209" s="5">
        <v>100</v>
      </c>
      <c r="O209" s="16" t="s">
        <v>467</v>
      </c>
      <c r="P209" s="6">
        <v>1.1000000000000001E-3</v>
      </c>
      <c r="Q209" s="12">
        <f t="shared" ref="Q209" si="88">P209*N209</f>
        <v>0.11</v>
      </c>
      <c r="R209" s="11"/>
    </row>
    <row r="210" spans="1:18" x14ac:dyDescent="0.25">
      <c r="A210" s="1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 t="shared" si="87"/>
        <v>10</v>
      </c>
      <c r="N210" s="11">
        <v>20</v>
      </c>
      <c r="O210" s="16" t="s">
        <v>467</v>
      </c>
      <c r="P210" s="12">
        <v>2.81E-2</v>
      </c>
      <c r="Q210" s="6">
        <f>P210*N210</f>
        <v>0.56200000000000006</v>
      </c>
      <c r="R210" s="5"/>
    </row>
    <row r="211" spans="1:18" x14ac:dyDescent="0.25">
      <c r="A211" s="1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5">
        <f t="shared" si="87"/>
        <v>10</v>
      </c>
      <c r="N211" s="5">
        <v>20</v>
      </c>
      <c r="O211" s="16" t="s">
        <v>467</v>
      </c>
      <c r="P211" s="6">
        <v>0.29670000000000002</v>
      </c>
      <c r="Q211" s="12">
        <f t="shared" ref="Q211" si="89">P211*N211</f>
        <v>5.9340000000000002</v>
      </c>
      <c r="R211" s="11"/>
    </row>
    <row r="212" spans="1:18" x14ac:dyDescent="0.25">
      <c r="A212" s="1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 t="shared" si="87"/>
        <v>20</v>
      </c>
      <c r="N212" s="11">
        <v>100</v>
      </c>
      <c r="O212" s="16" t="s">
        <v>467</v>
      </c>
      <c r="P212" s="12">
        <v>5.9999999999999995E-4</v>
      </c>
      <c r="Q212" s="6">
        <f>P212*N212</f>
        <v>0.06</v>
      </c>
      <c r="R212" s="5"/>
    </row>
    <row r="213" spans="1:18" x14ac:dyDescent="0.25">
      <c r="A213" s="1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5">
        <f t="shared" si="87"/>
        <v>10</v>
      </c>
      <c r="N213" s="5">
        <v>100</v>
      </c>
      <c r="O213" s="16" t="s">
        <v>467</v>
      </c>
      <c r="P213" s="6">
        <v>5.9999999999999995E-4</v>
      </c>
      <c r="Q213" s="12">
        <f t="shared" ref="Q213" si="90">P213*N213</f>
        <v>0.06</v>
      </c>
      <c r="R213" s="11"/>
    </row>
    <row r="214" spans="1:18" x14ac:dyDescent="0.25">
      <c r="A214" s="1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 t="shared" si="87"/>
        <v>10</v>
      </c>
      <c r="N214" s="5">
        <v>100</v>
      </c>
      <c r="O214" s="16" t="s">
        <v>467</v>
      </c>
      <c r="P214" s="6">
        <v>5.0000000000000001E-4</v>
      </c>
      <c r="Q214" s="6">
        <f>P214*N214</f>
        <v>0.05</v>
      </c>
      <c r="R214" s="5"/>
    </row>
    <row r="215" spans="1:18" x14ac:dyDescent="0.25">
      <c r="A215" s="1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5">
        <f t="shared" si="87"/>
        <v>10</v>
      </c>
      <c r="N215" s="5">
        <v>100</v>
      </c>
      <c r="O215" s="16" t="s">
        <v>467</v>
      </c>
      <c r="P215" s="6">
        <v>5.9999999999999995E-4</v>
      </c>
      <c r="Q215" s="12">
        <f t="shared" ref="Q215" si="91">P215*N215</f>
        <v>0.06</v>
      </c>
      <c r="R215" s="11"/>
    </row>
    <row r="216" spans="1:18" ht="24" x14ac:dyDescent="0.25">
      <c r="A216" s="1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 t="shared" si="87"/>
        <v>10</v>
      </c>
      <c r="N216" s="5">
        <v>11</v>
      </c>
      <c r="O216" s="16" t="s">
        <v>467</v>
      </c>
      <c r="P216" s="6">
        <v>9.8475000000000001</v>
      </c>
      <c r="Q216" s="6">
        <f>P216*N216</f>
        <v>108.32250000000001</v>
      </c>
      <c r="R216" s="5"/>
    </row>
    <row r="217" spans="1:18" ht="24.75" thickBot="1" x14ac:dyDescent="0.3">
      <c r="A217" s="1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5">
        <f t="shared" si="87"/>
        <v>10</v>
      </c>
      <c r="N217" s="11">
        <v>20</v>
      </c>
      <c r="O217" s="16" t="s">
        <v>467</v>
      </c>
      <c r="P217" s="12">
        <v>9.9000000000000005E-2</v>
      </c>
      <c r="Q217" s="12">
        <f t="shared" ref="Q217" si="92">P217*N217</f>
        <v>1.98</v>
      </c>
      <c r="R217" s="11"/>
    </row>
    <row r="218" spans="1:18" ht="19.5" thickBo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5" t="s">
        <v>1</v>
      </c>
      <c r="O218" s="26"/>
      <c r="P218" s="26"/>
      <c r="Q218" s="9">
        <f>SUM(Q208:Q217)</f>
        <v>117.39850000000001</v>
      </c>
      <c r="R218" s="1"/>
    </row>
    <row r="219" spans="1:18" ht="19.5" thickBo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5" t="s">
        <v>2</v>
      </c>
      <c r="O219" s="26"/>
      <c r="P219" s="26"/>
      <c r="Q219" s="10">
        <f>Q218/10</f>
        <v>11.739850000000001</v>
      </c>
      <c r="R219" s="1"/>
    </row>
    <row r="220" spans="1:18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26.25" x14ac:dyDescent="0.25">
      <c r="A221" s="1"/>
      <c r="B221" s="2"/>
      <c r="C221" s="2"/>
      <c r="D221" s="22"/>
      <c r="E221" s="22"/>
      <c r="F221" s="22"/>
      <c r="G221" s="27" t="s">
        <v>918</v>
      </c>
      <c r="H221" s="27"/>
      <c r="I221" s="27"/>
      <c r="J221" s="22"/>
      <c r="K221" s="23"/>
      <c r="L221" s="23"/>
      <c r="M221" s="23"/>
      <c r="N221" s="23"/>
      <c r="O221" s="23"/>
      <c r="P221" s="23"/>
      <c r="Q221" s="23"/>
      <c r="R221" s="23"/>
    </row>
    <row r="222" spans="1:18" ht="15.75" thickBot="1" x14ac:dyDescent="0.3">
      <c r="A222" s="1"/>
      <c r="B222" s="2"/>
      <c r="C222" s="2"/>
      <c r="D222" s="22"/>
      <c r="E222" s="22"/>
      <c r="F222" s="22"/>
      <c r="G222" s="22"/>
      <c r="H222" s="22"/>
      <c r="I222" s="22"/>
      <c r="J222" s="22"/>
      <c r="K222" s="23"/>
      <c r="L222" s="23"/>
      <c r="M222" s="23"/>
      <c r="N222" s="23"/>
      <c r="O222" s="23"/>
      <c r="P222" s="23"/>
      <c r="Q222" s="23"/>
      <c r="R222" s="23"/>
    </row>
    <row r="223" spans="1:18" ht="15.75" thickBot="1" x14ac:dyDescent="0.3">
      <c r="A223" s="1"/>
      <c r="B223" s="4" t="s">
        <v>0</v>
      </c>
      <c r="C223" s="4" t="s">
        <v>3</v>
      </c>
      <c r="D223" s="4" t="s">
        <v>16</v>
      </c>
      <c r="E223" s="4" t="s">
        <v>106</v>
      </c>
      <c r="F223" s="4" t="s">
        <v>190</v>
      </c>
      <c r="G223" s="4" t="s">
        <v>220</v>
      </c>
      <c r="H223" s="4" t="s">
        <v>298</v>
      </c>
      <c r="I223" s="4" t="s">
        <v>459</v>
      </c>
      <c r="J223" s="4" t="s">
        <v>327</v>
      </c>
      <c r="K223" s="4" t="s">
        <v>460</v>
      </c>
      <c r="L223" s="4" t="s">
        <v>458</v>
      </c>
      <c r="M223" s="4" t="s">
        <v>946</v>
      </c>
      <c r="N223" s="4" t="s">
        <v>947</v>
      </c>
      <c r="O223" s="4" t="s">
        <v>463</v>
      </c>
      <c r="P223" s="4" t="s">
        <v>948</v>
      </c>
      <c r="Q223" s="4" t="s">
        <v>949</v>
      </c>
      <c r="R223" s="4" t="s">
        <v>466</v>
      </c>
    </row>
    <row r="224" spans="1:18" x14ac:dyDescent="0.25">
      <c r="A224" s="1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L224*10</f>
        <v>10</v>
      </c>
      <c r="N224" s="11">
        <v>50</v>
      </c>
      <c r="O224" s="16" t="s">
        <v>467</v>
      </c>
      <c r="P224" s="12">
        <v>1.2800000000000001E-2</v>
      </c>
      <c r="Q224" s="6">
        <f>P224*N224</f>
        <v>0.64</v>
      </c>
      <c r="R224" s="5"/>
    </row>
    <row r="225" spans="1:18" x14ac:dyDescent="0.25">
      <c r="A225" s="1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5">
        <f t="shared" ref="M225:M247" si="93">L225*10</f>
        <v>40</v>
      </c>
      <c r="N225" s="5">
        <v>100</v>
      </c>
      <c r="O225" s="16" t="s">
        <v>467</v>
      </c>
      <c r="P225" s="6">
        <v>1.1000000000000001E-3</v>
      </c>
      <c r="Q225" s="12">
        <f t="shared" ref="Q225" si="94">P225*N225</f>
        <v>0.11</v>
      </c>
      <c r="R225" s="11"/>
    </row>
    <row r="226" spans="1:18" x14ac:dyDescent="0.25">
      <c r="A226" s="1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 t="shared" si="93"/>
        <v>10</v>
      </c>
      <c r="N226" s="5">
        <v>100</v>
      </c>
      <c r="O226" s="16" t="s">
        <v>467</v>
      </c>
      <c r="P226" s="6">
        <v>2.5999999999999999E-3</v>
      </c>
      <c r="Q226" s="6">
        <f>P226*N226</f>
        <v>0.26</v>
      </c>
      <c r="R226" s="5"/>
    </row>
    <row r="227" spans="1:18" x14ac:dyDescent="0.25">
      <c r="A227" s="1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5">
        <f t="shared" si="93"/>
        <v>20</v>
      </c>
      <c r="N227" s="5">
        <v>25</v>
      </c>
      <c r="O227" s="16" t="s">
        <v>467</v>
      </c>
      <c r="P227" s="6">
        <v>0.28389999999999999</v>
      </c>
      <c r="Q227" s="12">
        <f t="shared" ref="Q227" si="95">P227*N227</f>
        <v>7.0974999999999993</v>
      </c>
      <c r="R227" s="11"/>
    </row>
    <row r="228" spans="1:18" ht="24" x14ac:dyDescent="0.25">
      <c r="A228" s="1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 t="shared" si="93"/>
        <v>20</v>
      </c>
      <c r="N228" s="5">
        <v>40</v>
      </c>
      <c r="O228" s="16" t="s">
        <v>467</v>
      </c>
      <c r="P228" s="6">
        <v>8.5300000000000001E-2</v>
      </c>
      <c r="Q228" s="6">
        <f>P228*N228</f>
        <v>3.4119999999999999</v>
      </c>
      <c r="R228" s="5"/>
    </row>
    <row r="229" spans="1:18" ht="24" x14ac:dyDescent="0.25">
      <c r="A229" s="1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5">
        <f t="shared" si="93"/>
        <v>20</v>
      </c>
      <c r="N229" s="11">
        <v>50</v>
      </c>
      <c r="O229" s="16" t="s">
        <v>467</v>
      </c>
      <c r="P229" s="12">
        <v>1.7100000000000001E-2</v>
      </c>
      <c r="Q229" s="12">
        <f t="shared" ref="Q229" si="96">P229*N229</f>
        <v>0.85499999999999998</v>
      </c>
      <c r="R229" s="11"/>
    </row>
    <row r="230" spans="1:18" ht="24" x14ac:dyDescent="0.25">
      <c r="A230" s="1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 t="shared" si="93"/>
        <v>20</v>
      </c>
      <c r="N230" s="11">
        <v>50</v>
      </c>
      <c r="O230" s="16" t="s">
        <v>467</v>
      </c>
      <c r="P230" s="12">
        <v>8.9999999999999993E-3</v>
      </c>
      <c r="Q230" s="6">
        <f>P230*N230</f>
        <v>0.44999999999999996</v>
      </c>
      <c r="R230" s="5"/>
    </row>
    <row r="231" spans="1:18" x14ac:dyDescent="0.25">
      <c r="A231" s="1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5">
        <f t="shared" si="93"/>
        <v>10</v>
      </c>
      <c r="N231" s="11">
        <v>20</v>
      </c>
      <c r="O231" s="16" t="s">
        <v>467</v>
      </c>
      <c r="P231" s="12">
        <v>2.81E-2</v>
      </c>
      <c r="Q231" s="12">
        <f t="shared" ref="Q231" si="97">P231*N231</f>
        <v>0.56200000000000006</v>
      </c>
      <c r="R231" s="11"/>
    </row>
    <row r="232" spans="1:18" ht="36" x14ac:dyDescent="0.25">
      <c r="A232" s="1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 t="shared" si="93"/>
        <v>10</v>
      </c>
      <c r="N232" s="11">
        <v>50</v>
      </c>
      <c r="O232" s="16" t="s">
        <v>467</v>
      </c>
      <c r="P232" s="12">
        <v>1.29E-2</v>
      </c>
      <c r="Q232" s="6">
        <f>P232*N232</f>
        <v>0.64500000000000002</v>
      </c>
      <c r="R232" s="5"/>
    </row>
    <row r="233" spans="1:18" x14ac:dyDescent="0.25">
      <c r="A233" s="1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5">
        <f t="shared" si="93"/>
        <v>10</v>
      </c>
      <c r="N233" s="11">
        <v>15</v>
      </c>
      <c r="O233" s="16" t="s">
        <v>467</v>
      </c>
      <c r="P233" s="12">
        <v>0.1905</v>
      </c>
      <c r="Q233" s="12">
        <f t="shared" ref="Q233" si="98">P233*N233</f>
        <v>2.8574999999999999</v>
      </c>
      <c r="R233" s="11"/>
    </row>
    <row r="234" spans="1:18" ht="48" x14ac:dyDescent="0.25">
      <c r="A234" s="1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 t="shared" si="93"/>
        <v>10</v>
      </c>
      <c r="N234" s="5">
        <v>20</v>
      </c>
      <c r="O234" s="16" t="s">
        <v>467</v>
      </c>
      <c r="P234" s="6">
        <v>3.9E-2</v>
      </c>
      <c r="Q234" s="6">
        <f>P234*N234</f>
        <v>0.78</v>
      </c>
      <c r="R234" s="5"/>
    </row>
    <row r="235" spans="1:18" ht="24" x14ac:dyDescent="0.25">
      <c r="A235" s="1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5">
        <f t="shared" si="93"/>
        <v>10</v>
      </c>
      <c r="N235" s="5">
        <v>50</v>
      </c>
      <c r="O235" s="16" t="s">
        <v>467</v>
      </c>
      <c r="P235" s="6">
        <v>5.4000000000000003E-3</v>
      </c>
      <c r="Q235" s="12">
        <f t="shared" ref="Q235" si="99">P235*N235</f>
        <v>0.27</v>
      </c>
      <c r="R235" s="11"/>
    </row>
    <row r="236" spans="1:18" x14ac:dyDescent="0.25">
      <c r="A236" s="1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 t="shared" si="93"/>
        <v>10</v>
      </c>
      <c r="N236" s="5">
        <v>100</v>
      </c>
      <c r="O236" s="16" t="s">
        <v>467</v>
      </c>
      <c r="P236" s="6">
        <v>5.9999999999999995E-4</v>
      </c>
      <c r="Q236" s="6">
        <f>P236*N236</f>
        <v>0.06</v>
      </c>
      <c r="R236" s="5"/>
    </row>
    <row r="237" spans="1:18" x14ac:dyDescent="0.25">
      <c r="A237" s="1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5">
        <f t="shared" si="93"/>
        <v>30</v>
      </c>
      <c r="N237" s="5">
        <v>100</v>
      </c>
      <c r="O237" s="16" t="s">
        <v>467</v>
      </c>
      <c r="P237" s="6">
        <v>6.9999999999999999E-4</v>
      </c>
      <c r="Q237" s="12">
        <f t="shared" ref="Q237" si="100">P237*N237</f>
        <v>6.9999999999999993E-2</v>
      </c>
      <c r="R237" s="11"/>
    </row>
    <row r="238" spans="1:18" x14ac:dyDescent="0.25">
      <c r="A238" s="1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 t="shared" si="93"/>
        <v>20</v>
      </c>
      <c r="N238" s="5">
        <v>100</v>
      </c>
      <c r="O238" s="16" t="s">
        <v>467</v>
      </c>
      <c r="P238" s="6">
        <v>5.0000000000000001E-4</v>
      </c>
      <c r="Q238" s="6">
        <f>P238*N238</f>
        <v>0.05</v>
      </c>
      <c r="R238" s="5"/>
    </row>
    <row r="239" spans="1:18" x14ac:dyDescent="0.25">
      <c r="A239" s="1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5">
        <f t="shared" si="93"/>
        <v>10</v>
      </c>
      <c r="N239" s="5">
        <v>20</v>
      </c>
      <c r="O239" s="16" t="s">
        <v>467</v>
      </c>
      <c r="P239" s="6">
        <v>2.07E-2</v>
      </c>
      <c r="Q239" s="12">
        <f t="shared" ref="Q239" si="101">P239*N239</f>
        <v>0.41399999999999998</v>
      </c>
      <c r="R239" s="11"/>
    </row>
    <row r="240" spans="1:18" x14ac:dyDescent="0.25">
      <c r="A240" s="1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 t="shared" si="93"/>
        <v>20</v>
      </c>
      <c r="N240" s="11">
        <v>100</v>
      </c>
      <c r="O240" s="16" t="s">
        <v>467</v>
      </c>
      <c r="P240" s="12">
        <v>5.9999999999999995E-4</v>
      </c>
      <c r="Q240" s="6">
        <f>P240*N240</f>
        <v>0.06</v>
      </c>
      <c r="R240" s="5"/>
    </row>
    <row r="241" spans="1:18" x14ac:dyDescent="0.25">
      <c r="A241" s="1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5">
        <f t="shared" si="93"/>
        <v>10</v>
      </c>
      <c r="N241" s="5">
        <v>100</v>
      </c>
      <c r="O241" s="16" t="s">
        <v>467</v>
      </c>
      <c r="P241" s="6">
        <v>5.9999999999999995E-4</v>
      </c>
      <c r="Q241" s="12">
        <f t="shared" ref="Q241" si="102">P241*N241</f>
        <v>0.06</v>
      </c>
      <c r="R241" s="11"/>
    </row>
    <row r="242" spans="1:18" x14ac:dyDescent="0.25">
      <c r="A242" s="1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 t="shared" si="93"/>
        <v>10</v>
      </c>
      <c r="N242" s="5">
        <v>100</v>
      </c>
      <c r="O242" s="16" t="s">
        <v>467</v>
      </c>
      <c r="P242" s="6">
        <v>7.0000000000000001E-3</v>
      </c>
      <c r="Q242" s="6">
        <f>P242*N242</f>
        <v>0.70000000000000007</v>
      </c>
      <c r="R242" s="5"/>
    </row>
    <row r="243" spans="1:18" x14ac:dyDescent="0.25">
      <c r="A243" s="1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5">
        <f t="shared" si="93"/>
        <v>10</v>
      </c>
      <c r="N243" s="5">
        <v>100</v>
      </c>
      <c r="O243" s="16" t="s">
        <v>467</v>
      </c>
      <c r="P243" s="6">
        <v>6.9999999999999999E-4</v>
      </c>
      <c r="Q243" s="12">
        <f t="shared" ref="Q243" si="103">P243*N243</f>
        <v>6.9999999999999993E-2</v>
      </c>
      <c r="R243" s="11"/>
    </row>
    <row r="244" spans="1:18" x14ac:dyDescent="0.25">
      <c r="A244" s="1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 t="shared" si="93"/>
        <v>10</v>
      </c>
      <c r="N244" s="5">
        <v>100</v>
      </c>
      <c r="O244" s="16" t="s">
        <v>467</v>
      </c>
      <c r="P244" s="6">
        <v>5.9999999999999995E-4</v>
      </c>
      <c r="Q244" s="6">
        <f>P244*N244</f>
        <v>0.06</v>
      </c>
      <c r="R244" s="5"/>
    </row>
    <row r="245" spans="1:18" x14ac:dyDescent="0.25">
      <c r="A245" s="1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28">
        <f t="shared" si="93"/>
        <v>10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ht="24" x14ac:dyDescent="0.25">
      <c r="A246" s="1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 t="shared" si="93"/>
        <v>10</v>
      </c>
      <c r="N246" s="5">
        <v>11</v>
      </c>
      <c r="O246" s="16" t="s">
        <v>467</v>
      </c>
      <c r="P246" s="6">
        <v>9.8475000000000001</v>
      </c>
      <c r="Q246" s="6">
        <f>P246*N246</f>
        <v>108.32250000000001</v>
      </c>
      <c r="R246" s="5"/>
    </row>
    <row r="247" spans="1:18" ht="24.75" thickBot="1" x14ac:dyDescent="0.3">
      <c r="A247" s="1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5">
        <f t="shared" si="93"/>
        <v>10</v>
      </c>
      <c r="N247" s="11">
        <v>15</v>
      </c>
      <c r="O247" s="16" t="s">
        <v>467</v>
      </c>
      <c r="P247" s="12">
        <v>9.9000000000000005E-2</v>
      </c>
      <c r="Q247" s="12">
        <f t="shared" ref="Q247" si="104">P247*N247</f>
        <v>1.4850000000000001</v>
      </c>
      <c r="R247" s="11"/>
    </row>
    <row r="248" spans="1:18" ht="19.5" thickBo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5" t="s">
        <v>1</v>
      </c>
      <c r="O248" s="26"/>
      <c r="P248" s="26"/>
      <c r="Q248" s="9">
        <f>SUM(Q224:Q247)</f>
        <v>129.29050000000001</v>
      </c>
      <c r="R248" s="1"/>
    </row>
    <row r="249" spans="1:18" ht="19.5" thickBo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5" t="s">
        <v>2</v>
      </c>
      <c r="O249" s="26"/>
      <c r="P249" s="26"/>
      <c r="Q249" s="10">
        <f>Q248/10</f>
        <v>12.92905</v>
      </c>
      <c r="R249" s="1"/>
    </row>
    <row r="250" spans="1:18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26.25" x14ac:dyDescent="0.25">
      <c r="A251" s="1"/>
      <c r="B251" s="2"/>
      <c r="C251" s="2"/>
      <c r="D251" s="22"/>
      <c r="E251" s="22"/>
      <c r="F251" s="22"/>
      <c r="G251" s="27" t="s">
        <v>923</v>
      </c>
      <c r="H251" s="27"/>
      <c r="I251" s="27"/>
      <c r="J251" s="22"/>
      <c r="K251" s="23"/>
      <c r="L251" s="23"/>
      <c r="M251" s="23"/>
      <c r="N251" s="23"/>
      <c r="O251" s="23"/>
      <c r="P251" s="23"/>
      <c r="Q251" s="23"/>
      <c r="R251" s="23"/>
    </row>
    <row r="252" spans="1:18" ht="15.75" thickBot="1" x14ac:dyDescent="0.3">
      <c r="A252" s="1"/>
      <c r="B252" s="2"/>
      <c r="C252" s="2"/>
      <c r="D252" s="22"/>
      <c r="E252" s="22"/>
      <c r="F252" s="22"/>
      <c r="G252" s="22"/>
      <c r="H252" s="22"/>
      <c r="I252" s="22"/>
      <c r="J252" s="22"/>
      <c r="K252" s="23"/>
      <c r="L252" s="23"/>
      <c r="M252" s="23"/>
      <c r="N252" s="23"/>
      <c r="O252" s="23"/>
      <c r="P252" s="23"/>
      <c r="Q252" s="23"/>
      <c r="R252" s="23"/>
    </row>
    <row r="253" spans="1:18" ht="15.75" thickBot="1" x14ac:dyDescent="0.3">
      <c r="A253" s="1"/>
      <c r="B253" s="4" t="s">
        <v>0</v>
      </c>
      <c r="C253" s="4" t="s">
        <v>3</v>
      </c>
      <c r="D253" s="4" t="s">
        <v>16</v>
      </c>
      <c r="E253" s="4" t="s">
        <v>106</v>
      </c>
      <c r="F253" s="4" t="s">
        <v>190</v>
      </c>
      <c r="G253" s="4" t="s">
        <v>220</v>
      </c>
      <c r="H253" s="4" t="s">
        <v>298</v>
      </c>
      <c r="I253" s="4" t="s">
        <v>459</v>
      </c>
      <c r="J253" s="4" t="s">
        <v>327</v>
      </c>
      <c r="K253" s="4" t="s">
        <v>460</v>
      </c>
      <c r="L253" s="4" t="s">
        <v>458</v>
      </c>
      <c r="M253" s="4" t="s">
        <v>946</v>
      </c>
      <c r="N253" s="4" t="s">
        <v>947</v>
      </c>
      <c r="O253" s="4" t="s">
        <v>463</v>
      </c>
      <c r="P253" s="4" t="s">
        <v>948</v>
      </c>
      <c r="Q253" s="4" t="s">
        <v>949</v>
      </c>
      <c r="R253" s="4" t="s">
        <v>466</v>
      </c>
    </row>
    <row r="254" spans="1:18" x14ac:dyDescent="0.25">
      <c r="A254" s="1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L254*10</f>
        <v>20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x14ac:dyDescent="0.25">
      <c r="A255" s="1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:M259" si="105">L255*10</f>
        <v>10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x14ac:dyDescent="0.25">
      <c r="A256" s="1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 t="shared" si="105"/>
        <v>10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ht="36" x14ac:dyDescent="0.25">
      <c r="A257" s="1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si="105"/>
        <v>10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x14ac:dyDescent="0.25">
      <c r="A258" s="1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 t="shared" si="105"/>
        <v>10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ht="15.75" thickBot="1" x14ac:dyDescent="0.3">
      <c r="A259" s="1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si="105"/>
        <v>20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5" t="s">
        <v>1</v>
      </c>
      <c r="O260" s="26"/>
      <c r="P260" s="26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5" t="s">
        <v>2</v>
      </c>
      <c r="O261" s="26"/>
      <c r="P261" s="26"/>
      <c r="Q261" s="10" t="e">
        <f>Q260/10</f>
        <v>#REF!</v>
      </c>
      <c r="R261" s="1"/>
    </row>
  </sheetData>
  <mergeCells count="21">
    <mergeCell ref="G251:I251"/>
    <mergeCell ref="N260:P260"/>
    <mergeCell ref="N261:P261"/>
    <mergeCell ref="G205:I205"/>
    <mergeCell ref="N218:P218"/>
    <mergeCell ref="N219:P219"/>
    <mergeCell ref="G221:I221"/>
    <mergeCell ref="N248:P248"/>
    <mergeCell ref="N249:P249"/>
    <mergeCell ref="G128:I128"/>
    <mergeCell ref="N182:P182"/>
    <mergeCell ref="N183:P183"/>
    <mergeCell ref="G185:I185"/>
    <mergeCell ref="N202:P202"/>
    <mergeCell ref="N203:P203"/>
    <mergeCell ref="D2:O2"/>
    <mergeCell ref="N94:P94"/>
    <mergeCell ref="N95:P95"/>
    <mergeCell ref="D97:O97"/>
    <mergeCell ref="N125:P125"/>
    <mergeCell ref="N126:P126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79" r:id="rId154"/>
    <hyperlink ref="O188" r:id="rId155"/>
    <hyperlink ref="O189" r:id="rId156"/>
    <hyperlink ref="O190" r:id="rId157"/>
    <hyperlink ref="O191" r:id="rId158"/>
    <hyperlink ref="O192" r:id="rId159"/>
    <hyperlink ref="O193" r:id="rId160"/>
    <hyperlink ref="O194" r:id="rId161"/>
    <hyperlink ref="O195" r:id="rId162"/>
    <hyperlink ref="O196" r:id="rId163"/>
    <hyperlink ref="O197" r:id="rId164"/>
    <hyperlink ref="O198" r:id="rId165"/>
    <hyperlink ref="O199" r:id="rId166"/>
    <hyperlink ref="O200" r:id="rId167"/>
    <hyperlink ref="O208" r:id="rId168"/>
    <hyperlink ref="O209" r:id="rId169"/>
    <hyperlink ref="O210" r:id="rId170"/>
    <hyperlink ref="O211" r:id="rId171"/>
    <hyperlink ref="O212" r:id="rId172"/>
    <hyperlink ref="O213" r:id="rId173"/>
    <hyperlink ref="O214" r:id="rId174"/>
    <hyperlink ref="O215" r:id="rId175"/>
    <hyperlink ref="O216" r:id="rId176"/>
    <hyperlink ref="O217" r:id="rId177"/>
    <hyperlink ref="O224" r:id="rId178"/>
    <hyperlink ref="O225" r:id="rId179"/>
    <hyperlink ref="O226" r:id="rId180"/>
    <hyperlink ref="O227" r:id="rId181"/>
    <hyperlink ref="O228" r:id="rId182"/>
    <hyperlink ref="O229" r:id="rId183"/>
    <hyperlink ref="O230" r:id="rId184"/>
    <hyperlink ref="O231" r:id="rId185"/>
    <hyperlink ref="O232" r:id="rId186"/>
    <hyperlink ref="O233" r:id="rId187"/>
    <hyperlink ref="O234" r:id="rId188"/>
    <hyperlink ref="O235" r:id="rId189"/>
    <hyperlink ref="O236" r:id="rId190"/>
    <hyperlink ref="O237" r:id="rId191"/>
    <hyperlink ref="O238" r:id="rId192"/>
    <hyperlink ref="O239" r:id="rId193"/>
    <hyperlink ref="O240" r:id="rId194"/>
    <hyperlink ref="O241" r:id="rId195"/>
    <hyperlink ref="O242" r:id="rId196"/>
    <hyperlink ref="O243" r:id="rId197"/>
    <hyperlink ref="O244" r:id="rId198"/>
    <hyperlink ref="O246" r:id="rId199"/>
    <hyperlink ref="O247" r:id="rId200"/>
    <hyperlink ref="O124" r:id="rId201" location="nav-specification"/>
  </hyperlinks>
  <pageMargins left="0.7" right="0.7" top="0.75" bottom="0.75" header="0.3" footer="0.3"/>
  <pageSetup orientation="portrait" r:id="rId2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61"/>
  <sheetViews>
    <sheetView tabSelected="1" topLeftCell="E59" workbookViewId="0">
      <selection activeCell="I81" sqref="I81"/>
    </sheetView>
  </sheetViews>
  <sheetFormatPr defaultRowHeight="15" x14ac:dyDescent="0.25"/>
  <cols>
    <col min="2" max="2" width="3" bestFit="1" customWidth="1"/>
    <col min="3" max="3" width="13.5703125" customWidth="1"/>
    <col min="4" max="4" width="26.7109375" customWidth="1"/>
    <col min="5" max="5" width="30" customWidth="1"/>
    <col min="6" max="6" width="19.42578125" customWidth="1"/>
    <col min="7" max="7" width="25.28515625" bestFit="1" customWidth="1"/>
    <col min="8" max="8" width="17.85546875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20.7109375" bestFit="1" customWidth="1"/>
    <col min="14" max="14" width="17.28515625" bestFit="1" customWidth="1"/>
    <col min="15" max="15" width="10.5703125" customWidth="1"/>
    <col min="16" max="16" width="20.7109375" bestFit="1" customWidth="1"/>
    <col min="17" max="17" width="21.42578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27" t="s">
        <v>486</v>
      </c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950</v>
      </c>
      <c r="N4" s="4" t="s">
        <v>951</v>
      </c>
      <c r="O4" s="4" t="s">
        <v>463</v>
      </c>
      <c r="P4" s="4" t="s">
        <v>952</v>
      </c>
      <c r="Q4" s="4" t="s">
        <v>953</v>
      </c>
      <c r="R4" s="4" t="s">
        <v>466</v>
      </c>
    </row>
    <row r="5" spans="1:18" s="30" customFormat="1" ht="48" x14ac:dyDescent="0.25">
      <c r="A5" s="29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L5*100</f>
        <v>2300</v>
      </c>
      <c r="N5" s="5">
        <v>2320</v>
      </c>
      <c r="O5" s="15" t="s">
        <v>467</v>
      </c>
      <c r="P5" s="6">
        <v>1.9300000000000001E-2</v>
      </c>
      <c r="Q5" s="6">
        <f>P5*N5</f>
        <v>44.776000000000003</v>
      </c>
      <c r="R5" s="5"/>
    </row>
    <row r="6" spans="1:18" s="30" customFormat="1" ht="24" x14ac:dyDescent="0.25">
      <c r="A6" s="29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5">
        <f t="shared" ref="M6:M69" si="1">L6*100</f>
        <v>1000</v>
      </c>
      <c r="N6" s="11">
        <v>1050</v>
      </c>
      <c r="O6" s="16" t="s">
        <v>467</v>
      </c>
      <c r="P6" s="12">
        <v>1.95E-2</v>
      </c>
      <c r="Q6" s="12">
        <f t="shared" ref="Q6" si="2">P6*N6</f>
        <v>20.475000000000001</v>
      </c>
      <c r="R6" s="11"/>
    </row>
    <row r="7" spans="1:18" s="30" customFormat="1" ht="60" x14ac:dyDescent="0.25">
      <c r="A7" s="29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 t="shared" si="1"/>
        <v>3000</v>
      </c>
      <c r="N7" s="5">
        <v>3100</v>
      </c>
      <c r="O7" s="16" t="s">
        <v>467</v>
      </c>
      <c r="P7" s="6">
        <v>1.8E-3</v>
      </c>
      <c r="Q7" s="6">
        <f>P7*N7</f>
        <v>5.58</v>
      </c>
      <c r="R7" s="5"/>
    </row>
    <row r="8" spans="1:18" s="30" customFormat="1" x14ac:dyDescent="0.25">
      <c r="A8" s="29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5">
        <f t="shared" si="1"/>
        <v>100</v>
      </c>
      <c r="N8" s="11">
        <v>150</v>
      </c>
      <c r="O8" s="16" t="s">
        <v>467</v>
      </c>
      <c r="P8" s="12">
        <v>1.0800000000000001E-2</v>
      </c>
      <c r="Q8" s="12">
        <f t="shared" ref="Q8" si="3">P8*N8</f>
        <v>1.62</v>
      </c>
      <c r="R8" s="11"/>
    </row>
    <row r="9" spans="1:18" s="30" customFormat="1" ht="36" x14ac:dyDescent="0.25">
      <c r="A9" s="29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 t="shared" si="1"/>
        <v>2100</v>
      </c>
      <c r="N9" s="5">
        <v>2200</v>
      </c>
      <c r="O9" s="16" t="s">
        <v>467</v>
      </c>
      <c r="P9" s="6">
        <v>8.9999999999999998E-4</v>
      </c>
      <c r="Q9" s="6">
        <f>P9*N9</f>
        <v>1.98</v>
      </c>
      <c r="R9" s="5"/>
    </row>
    <row r="10" spans="1:18" s="30" customFormat="1" x14ac:dyDescent="0.25">
      <c r="A10" s="29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5">
        <f t="shared" si="1"/>
        <v>200</v>
      </c>
      <c r="N10" s="11">
        <v>300</v>
      </c>
      <c r="O10" s="16" t="s">
        <v>467</v>
      </c>
      <c r="P10" s="12">
        <v>1E-3</v>
      </c>
      <c r="Q10" s="12">
        <f t="shared" ref="Q10" si="4">P10*N10</f>
        <v>0.3</v>
      </c>
      <c r="R10" s="11"/>
    </row>
    <row r="11" spans="1:18" s="30" customFormat="1" x14ac:dyDescent="0.25">
      <c r="A11" s="29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 t="shared" si="1"/>
        <v>300</v>
      </c>
      <c r="N11" s="5">
        <v>320</v>
      </c>
      <c r="O11" s="16" t="s">
        <v>467</v>
      </c>
      <c r="P11" s="6">
        <v>2.3400000000000001E-2</v>
      </c>
      <c r="Q11" s="6">
        <f>P11*N11</f>
        <v>7.4880000000000004</v>
      </c>
      <c r="R11" s="5"/>
    </row>
    <row r="12" spans="1:18" s="30" customFormat="1" x14ac:dyDescent="0.25">
      <c r="A12" s="29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5">
        <f t="shared" si="1"/>
        <v>400</v>
      </c>
      <c r="N12" s="11">
        <v>450</v>
      </c>
      <c r="O12" s="16" t="s">
        <v>467</v>
      </c>
      <c r="P12" s="12">
        <v>1.0800000000000001E-2</v>
      </c>
      <c r="Q12" s="12">
        <f t="shared" ref="Q12" si="5">P12*N12</f>
        <v>4.8600000000000003</v>
      </c>
      <c r="R12" s="11"/>
    </row>
    <row r="13" spans="1:18" s="30" customFormat="1" ht="96" x14ac:dyDescent="0.25">
      <c r="A13" s="29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 t="shared" si="1"/>
        <v>4500</v>
      </c>
      <c r="N13" s="5">
        <v>4600</v>
      </c>
      <c r="O13" s="16" t="s">
        <v>467</v>
      </c>
      <c r="P13" s="6">
        <v>6.9999999999999999E-4</v>
      </c>
      <c r="Q13" s="6">
        <f>P13*N13</f>
        <v>3.2199999999999998</v>
      </c>
      <c r="R13" s="5"/>
    </row>
    <row r="14" spans="1:18" s="30" customFormat="1" ht="25.5" x14ac:dyDescent="0.25">
      <c r="A14" s="29"/>
      <c r="B14" s="8">
        <f t="shared" si="0"/>
        <v>10</v>
      </c>
      <c r="C14" s="13" t="s">
        <v>4</v>
      </c>
      <c r="D14" s="17" t="s">
        <v>26</v>
      </c>
      <c r="E14" s="17" t="s">
        <v>116</v>
      </c>
      <c r="F14" s="17" t="s">
        <v>192</v>
      </c>
      <c r="G14" s="17" t="s">
        <v>230</v>
      </c>
      <c r="H14" s="17" t="s">
        <v>299</v>
      </c>
      <c r="I14" s="18" t="s">
        <v>479</v>
      </c>
      <c r="J14" s="17" t="s">
        <v>337</v>
      </c>
      <c r="K14" s="17" t="s">
        <v>413</v>
      </c>
      <c r="L14" s="17">
        <v>1</v>
      </c>
      <c r="M14" s="28">
        <f t="shared" si="1"/>
        <v>100</v>
      </c>
      <c r="N14" s="17" t="s">
        <v>468</v>
      </c>
      <c r="O14" s="17" t="s">
        <v>468</v>
      </c>
      <c r="P14" s="19" t="s">
        <v>468</v>
      </c>
      <c r="Q14" s="19" t="s">
        <v>468</v>
      </c>
      <c r="R14" s="20" t="s">
        <v>471</v>
      </c>
    </row>
    <row r="15" spans="1:18" s="30" customFormat="1" ht="24" x14ac:dyDescent="0.25">
      <c r="A15" s="29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 t="shared" si="1"/>
        <v>800</v>
      </c>
      <c r="N15" s="5">
        <v>900</v>
      </c>
      <c r="O15" s="16" t="s">
        <v>467</v>
      </c>
      <c r="P15" s="6">
        <v>4.7999999999999996E-3</v>
      </c>
      <c r="Q15" s="6">
        <f>P15*N15</f>
        <v>4.3199999999999994</v>
      </c>
      <c r="R15" s="5"/>
    </row>
    <row r="16" spans="1:18" s="30" customFormat="1" ht="25.5" x14ac:dyDescent="0.25">
      <c r="A16" s="29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28">
        <f t="shared" si="1"/>
        <v>100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s="30" customFormat="1" x14ac:dyDescent="0.25">
      <c r="A17" s="29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 t="shared" si="1"/>
        <v>100</v>
      </c>
      <c r="N17" s="5">
        <v>150</v>
      </c>
      <c r="O17" s="16" t="s">
        <v>467</v>
      </c>
      <c r="P17" s="6">
        <v>1.7100000000000001E-2</v>
      </c>
      <c r="Q17" s="6">
        <f>P17*N17</f>
        <v>2.5649999999999999</v>
      </c>
      <c r="R17" s="5"/>
    </row>
    <row r="18" spans="1:18" s="30" customFormat="1" x14ac:dyDescent="0.25">
      <c r="A18" s="29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5">
        <f t="shared" si="1"/>
        <v>100</v>
      </c>
      <c r="N18" s="11">
        <v>200</v>
      </c>
      <c r="O18" s="16" t="s">
        <v>467</v>
      </c>
      <c r="P18" s="12">
        <v>1.6000000000000001E-3</v>
      </c>
      <c r="Q18" s="12">
        <f t="shared" ref="Q18" si="6">P18*N18</f>
        <v>0.32</v>
      </c>
      <c r="R18" s="11"/>
    </row>
    <row r="19" spans="1:18" s="30" customFormat="1" x14ac:dyDescent="0.25">
      <c r="A19" s="29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 t="shared" si="1"/>
        <v>200</v>
      </c>
      <c r="N19" s="5">
        <v>300</v>
      </c>
      <c r="O19" s="16" t="s">
        <v>467</v>
      </c>
      <c r="P19" s="6">
        <v>1.1000000000000001E-3</v>
      </c>
      <c r="Q19" s="6">
        <f>P19*N19</f>
        <v>0.33</v>
      </c>
      <c r="R19" s="5"/>
    </row>
    <row r="20" spans="1:18" s="30" customFormat="1" x14ac:dyDescent="0.25">
      <c r="A20" s="29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5">
        <f t="shared" si="1"/>
        <v>100</v>
      </c>
      <c r="N20" s="5">
        <v>200</v>
      </c>
      <c r="O20" s="16" t="s">
        <v>467</v>
      </c>
      <c r="P20" s="6">
        <v>1E-3</v>
      </c>
      <c r="Q20" s="12">
        <f t="shared" ref="Q20" si="7">P20*N20</f>
        <v>0.2</v>
      </c>
      <c r="R20" s="11"/>
    </row>
    <row r="21" spans="1:18" s="30" customFormat="1" x14ac:dyDescent="0.25">
      <c r="A21" s="29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 t="shared" si="1"/>
        <v>200</v>
      </c>
      <c r="N21" s="5">
        <v>300</v>
      </c>
      <c r="O21" s="16" t="s">
        <v>467</v>
      </c>
      <c r="P21" s="6">
        <v>1E-3</v>
      </c>
      <c r="Q21" s="6">
        <f>P21*N21</f>
        <v>0.3</v>
      </c>
      <c r="R21" s="5"/>
    </row>
    <row r="22" spans="1:18" s="30" customFormat="1" x14ac:dyDescent="0.25">
      <c r="A22" s="29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5">
        <f t="shared" si="1"/>
        <v>100</v>
      </c>
      <c r="N22" s="11">
        <v>200</v>
      </c>
      <c r="O22" s="16" t="s">
        <v>467</v>
      </c>
      <c r="P22" s="12">
        <v>1.01E-2</v>
      </c>
      <c r="Q22" s="12">
        <f t="shared" ref="Q22" si="8">P22*N22</f>
        <v>2.02</v>
      </c>
      <c r="R22" s="11"/>
    </row>
    <row r="23" spans="1:18" s="30" customFormat="1" ht="25.5" x14ac:dyDescent="0.25">
      <c r="A23" s="29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28">
        <f t="shared" si="1"/>
        <v>300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s="30" customFormat="1" x14ac:dyDescent="0.25">
      <c r="A24" s="29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5">
        <f t="shared" si="1"/>
        <v>200</v>
      </c>
      <c r="N24" s="11">
        <v>205</v>
      </c>
      <c r="O24" s="16" t="s">
        <v>467</v>
      </c>
      <c r="P24" s="12">
        <v>0.17419999999999999</v>
      </c>
      <c r="Q24" s="12">
        <f t="shared" ref="Q24" si="9">P24*N24</f>
        <v>35.710999999999999</v>
      </c>
      <c r="R24" s="11"/>
    </row>
    <row r="25" spans="1:18" s="30" customFormat="1" x14ac:dyDescent="0.25">
      <c r="A25" s="29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 t="shared" si="1"/>
        <v>200</v>
      </c>
      <c r="N25" s="5">
        <v>300</v>
      </c>
      <c r="O25" s="16" t="s">
        <v>467</v>
      </c>
      <c r="P25" s="6">
        <v>4.8999999999999998E-3</v>
      </c>
      <c r="Q25" s="6">
        <f>P25*N25</f>
        <v>1.47</v>
      </c>
      <c r="R25" s="5"/>
    </row>
    <row r="26" spans="1:18" s="30" customFormat="1" x14ac:dyDescent="0.25">
      <c r="A26" s="29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5">
        <f t="shared" si="1"/>
        <v>200</v>
      </c>
      <c r="N26" s="5">
        <v>210</v>
      </c>
      <c r="O26" s="16" t="s">
        <v>467</v>
      </c>
      <c r="P26" s="6">
        <v>3.5400000000000001E-2</v>
      </c>
      <c r="Q26" s="12">
        <f t="shared" ref="Q26" si="10">P26*N26</f>
        <v>7.4340000000000002</v>
      </c>
      <c r="R26" s="11"/>
    </row>
    <row r="27" spans="1:18" s="30" customFormat="1" x14ac:dyDescent="0.25">
      <c r="A27" s="29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 t="shared" si="1"/>
        <v>100</v>
      </c>
      <c r="N27" s="11">
        <v>200</v>
      </c>
      <c r="O27" s="16" t="s">
        <v>467</v>
      </c>
      <c r="P27" s="12">
        <v>2.5000000000000001E-3</v>
      </c>
      <c r="Q27" s="6">
        <f>P27*N27</f>
        <v>0.5</v>
      </c>
      <c r="R27" s="5"/>
    </row>
    <row r="28" spans="1:18" s="30" customFormat="1" x14ac:dyDescent="0.25">
      <c r="A28" s="29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5">
        <f t="shared" si="1"/>
        <v>100</v>
      </c>
      <c r="N28" s="5">
        <v>200</v>
      </c>
      <c r="O28" s="16" t="s">
        <v>467</v>
      </c>
      <c r="P28" s="6">
        <v>1.1000000000000001E-3</v>
      </c>
      <c r="Q28" s="12">
        <f t="shared" ref="Q28" si="11">P28*N28</f>
        <v>0.22</v>
      </c>
      <c r="R28" s="11"/>
    </row>
    <row r="29" spans="1:18" s="30" customFormat="1" x14ac:dyDescent="0.25">
      <c r="A29" s="29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 t="shared" si="1"/>
        <v>100</v>
      </c>
      <c r="N29" s="11">
        <v>200</v>
      </c>
      <c r="O29" s="16" t="s">
        <v>467</v>
      </c>
      <c r="P29" s="12">
        <v>4.4999999999999997E-3</v>
      </c>
      <c r="Q29" s="6">
        <f>P29*N29</f>
        <v>0.89999999999999991</v>
      </c>
      <c r="R29" s="5"/>
    </row>
    <row r="30" spans="1:18" s="30" customFormat="1" x14ac:dyDescent="0.25">
      <c r="A30" s="29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5">
        <f t="shared" si="1"/>
        <v>100</v>
      </c>
      <c r="N30" s="5">
        <v>110</v>
      </c>
      <c r="O30" s="16" t="s">
        <v>467</v>
      </c>
      <c r="P30" s="6">
        <v>3.7199999999999997E-2</v>
      </c>
      <c r="Q30" s="12">
        <f t="shared" ref="Q30" si="12">P30*N30</f>
        <v>4.0919999999999996</v>
      </c>
      <c r="R30" s="11"/>
    </row>
    <row r="31" spans="1:18" s="30" customFormat="1" x14ac:dyDescent="0.25">
      <c r="A31" s="29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 t="shared" si="1"/>
        <v>100</v>
      </c>
      <c r="N31" s="11">
        <v>200</v>
      </c>
      <c r="O31" s="16" t="s">
        <v>467</v>
      </c>
      <c r="P31" s="12">
        <v>3.3E-3</v>
      </c>
      <c r="Q31" s="6">
        <f>P31*N31</f>
        <v>0.66</v>
      </c>
      <c r="R31" s="5"/>
    </row>
    <row r="32" spans="1:18" s="30" customFormat="1" x14ac:dyDescent="0.25">
      <c r="A32" s="29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5">
        <f t="shared" si="1"/>
        <v>200</v>
      </c>
      <c r="N32" s="5">
        <v>220</v>
      </c>
      <c r="O32" s="16" t="s">
        <v>467</v>
      </c>
      <c r="P32" s="6">
        <v>1.7399999999999999E-2</v>
      </c>
      <c r="Q32" s="12">
        <f t="shared" ref="Q32" si="13">P32*N32</f>
        <v>3.8279999999999998</v>
      </c>
      <c r="R32" s="11"/>
    </row>
    <row r="33" spans="1:18" s="30" customFormat="1" ht="24" x14ac:dyDescent="0.25">
      <c r="A33" s="29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 t="shared" si="1"/>
        <v>300</v>
      </c>
      <c r="N33" s="11">
        <v>350</v>
      </c>
      <c r="O33" s="16" t="s">
        <v>467</v>
      </c>
      <c r="P33" s="12">
        <v>8.9999999999999993E-3</v>
      </c>
      <c r="Q33" s="6">
        <f>P33*N33</f>
        <v>3.15</v>
      </c>
      <c r="R33" s="5"/>
    </row>
    <row r="34" spans="1:18" s="30" customFormat="1" x14ac:dyDescent="0.25">
      <c r="A34" s="29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5">
        <f t="shared" si="1"/>
        <v>100</v>
      </c>
      <c r="N34" s="11">
        <v>120</v>
      </c>
      <c r="O34" s="16" t="s">
        <v>467</v>
      </c>
      <c r="P34" s="12">
        <v>1.7299999999999999E-2</v>
      </c>
      <c r="Q34" s="12">
        <f t="shared" ref="Q34" si="14">P34*N34</f>
        <v>2.0760000000000001</v>
      </c>
      <c r="R34" s="11"/>
    </row>
    <row r="35" spans="1:18" s="30" customFormat="1" x14ac:dyDescent="0.25">
      <c r="A35" s="29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 t="shared" si="1"/>
        <v>100</v>
      </c>
      <c r="N35" s="11">
        <v>101</v>
      </c>
      <c r="O35" s="16" t="s">
        <v>474</v>
      </c>
      <c r="P35" s="12">
        <v>0.12705</v>
      </c>
      <c r="Q35" s="6">
        <f>P35*N35</f>
        <v>12.832049999999999</v>
      </c>
      <c r="R35" s="5"/>
    </row>
    <row r="36" spans="1:18" s="30" customFormat="1" ht="24" x14ac:dyDescent="0.25">
      <c r="A36" s="29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5">
        <f t="shared" si="1"/>
        <v>500</v>
      </c>
      <c r="N36" s="11">
        <v>505</v>
      </c>
      <c r="O36" s="16" t="s">
        <v>467</v>
      </c>
      <c r="P36" s="12">
        <v>5.3100000000000001E-2</v>
      </c>
      <c r="Q36" s="12">
        <f t="shared" ref="Q36" si="15">P36*N36</f>
        <v>26.8155</v>
      </c>
      <c r="R36" s="11"/>
    </row>
    <row r="37" spans="1:18" s="30" customFormat="1" ht="36" x14ac:dyDescent="0.25">
      <c r="A37" s="29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 t="shared" si="1"/>
        <v>300</v>
      </c>
      <c r="N37" s="11">
        <v>305</v>
      </c>
      <c r="O37" s="16" t="s">
        <v>467</v>
      </c>
      <c r="P37" s="12">
        <v>0.1434</v>
      </c>
      <c r="Q37" s="6">
        <f>P37*N37</f>
        <v>43.737000000000002</v>
      </c>
      <c r="R37" s="5"/>
    </row>
    <row r="38" spans="1:18" s="30" customFormat="1" x14ac:dyDescent="0.25">
      <c r="A38" s="29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5">
        <f t="shared" si="1"/>
        <v>100</v>
      </c>
      <c r="N38" s="5">
        <v>101</v>
      </c>
      <c r="O38" s="16" t="s">
        <v>467</v>
      </c>
      <c r="P38" s="6">
        <v>0.6038</v>
      </c>
      <c r="Q38" s="12">
        <f t="shared" ref="Q38" si="16">P38*N38</f>
        <v>60.983800000000002</v>
      </c>
      <c r="R38" s="11"/>
    </row>
    <row r="39" spans="1:18" s="30" customFormat="1" x14ac:dyDescent="0.25">
      <c r="A39" s="29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 t="shared" si="1"/>
        <v>100</v>
      </c>
      <c r="N39" s="5">
        <v>110</v>
      </c>
      <c r="O39" s="16" t="s">
        <v>467</v>
      </c>
      <c r="P39" s="6">
        <v>3.4299999999999997E-2</v>
      </c>
      <c r="Q39" s="6">
        <f>P39*N39</f>
        <v>3.7729999999999997</v>
      </c>
      <c r="R39" s="5"/>
    </row>
    <row r="40" spans="1:18" s="30" customFormat="1" x14ac:dyDescent="0.25">
      <c r="A40" s="29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5">
        <f t="shared" si="1"/>
        <v>100</v>
      </c>
      <c r="N40" s="11">
        <v>110</v>
      </c>
      <c r="O40" s="16" t="s">
        <v>467</v>
      </c>
      <c r="P40" s="12">
        <v>3.1E-2</v>
      </c>
      <c r="Q40" s="12">
        <f t="shared" ref="Q40" si="17">P40*N40</f>
        <v>3.41</v>
      </c>
      <c r="R40" s="11"/>
    </row>
    <row r="41" spans="1:18" s="30" customFormat="1" x14ac:dyDescent="0.25">
      <c r="A41" s="29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 t="shared" si="1"/>
        <v>100</v>
      </c>
      <c r="N41" s="5">
        <v>101</v>
      </c>
      <c r="O41" s="16" t="s">
        <v>467</v>
      </c>
      <c r="P41" s="6">
        <v>0.35870000000000002</v>
      </c>
      <c r="Q41" s="6">
        <f>P41*N41</f>
        <v>36.228700000000003</v>
      </c>
      <c r="R41" s="5"/>
    </row>
    <row r="42" spans="1:18" s="30" customFormat="1" x14ac:dyDescent="0.25">
      <c r="A42" s="29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5">
        <f t="shared" si="1"/>
        <v>100</v>
      </c>
      <c r="N42" s="11">
        <v>101</v>
      </c>
      <c r="O42" s="16" t="s">
        <v>467</v>
      </c>
      <c r="P42" s="12">
        <v>0.35720000000000002</v>
      </c>
      <c r="Q42" s="12">
        <f t="shared" ref="Q42" si="18">P42*N42</f>
        <v>36.077200000000005</v>
      </c>
      <c r="R42" s="11"/>
    </row>
    <row r="43" spans="1:18" s="30" customFormat="1" x14ac:dyDescent="0.25">
      <c r="A43" s="29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 t="shared" si="1"/>
        <v>400</v>
      </c>
      <c r="N43" s="5">
        <v>500</v>
      </c>
      <c r="O43" s="16" t="s">
        <v>467</v>
      </c>
      <c r="P43" s="6">
        <v>6.9999999999999999E-4</v>
      </c>
      <c r="Q43" s="6">
        <f>P43*N43</f>
        <v>0.35</v>
      </c>
      <c r="R43" s="5"/>
    </row>
    <row r="44" spans="1:18" s="30" customFormat="1" x14ac:dyDescent="0.25">
      <c r="A44" s="29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5">
        <f t="shared" si="1"/>
        <v>600</v>
      </c>
      <c r="N44" s="11">
        <v>700</v>
      </c>
      <c r="O44" s="16" t="s">
        <v>467</v>
      </c>
      <c r="P44" s="12">
        <v>5.9999999999999995E-4</v>
      </c>
      <c r="Q44" s="12">
        <f t="shared" ref="Q44" si="19">P44*N44</f>
        <v>0.42</v>
      </c>
      <c r="R44" s="11"/>
    </row>
    <row r="45" spans="1:18" s="30" customFormat="1" x14ac:dyDescent="0.25">
      <c r="A45" s="29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 t="shared" si="1"/>
        <v>100</v>
      </c>
      <c r="N45" s="5">
        <v>150</v>
      </c>
      <c r="O45" s="16" t="s">
        <v>467</v>
      </c>
      <c r="P45" s="6">
        <v>2.01E-2</v>
      </c>
      <c r="Q45" s="6">
        <f>P45*N45</f>
        <v>3.0150000000000001</v>
      </c>
      <c r="R45" s="5"/>
    </row>
    <row r="46" spans="1:18" s="30" customFormat="1" x14ac:dyDescent="0.25">
      <c r="A46" s="29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5">
        <f t="shared" si="1"/>
        <v>100</v>
      </c>
      <c r="N46" s="11">
        <v>150</v>
      </c>
      <c r="O46" s="16" t="s">
        <v>467</v>
      </c>
      <c r="P46" s="12">
        <v>1.9900000000000001E-2</v>
      </c>
      <c r="Q46" s="12">
        <f t="shared" ref="Q46" si="20">P46*N46</f>
        <v>2.9850000000000003</v>
      </c>
      <c r="R46" s="11"/>
    </row>
    <row r="47" spans="1:18" s="30" customFormat="1" x14ac:dyDescent="0.25">
      <c r="A47" s="29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 t="shared" si="1"/>
        <v>200</v>
      </c>
      <c r="N47" s="5">
        <v>300</v>
      </c>
      <c r="O47" s="16" t="s">
        <v>467</v>
      </c>
      <c r="P47" s="6">
        <v>5.9999999999999995E-4</v>
      </c>
      <c r="Q47" s="6">
        <f>P47*N47</f>
        <v>0.18</v>
      </c>
      <c r="R47" s="5"/>
    </row>
    <row r="48" spans="1:18" s="30" customFormat="1" x14ac:dyDescent="0.25">
      <c r="A48" s="29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5">
        <f t="shared" si="1"/>
        <v>100</v>
      </c>
      <c r="N48" s="11">
        <v>200</v>
      </c>
      <c r="O48" s="16" t="s">
        <v>467</v>
      </c>
      <c r="P48" s="12">
        <v>6.9999999999999999E-4</v>
      </c>
      <c r="Q48" s="12">
        <f t="shared" ref="Q48" si="21">P48*N48</f>
        <v>0.13999999999999999</v>
      </c>
      <c r="R48" s="11"/>
    </row>
    <row r="49" spans="1:18" s="30" customFormat="1" x14ac:dyDescent="0.25">
      <c r="A49" s="29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 t="shared" si="1"/>
        <v>600</v>
      </c>
      <c r="N49" s="5">
        <v>700</v>
      </c>
      <c r="O49" s="16" t="s">
        <v>467</v>
      </c>
      <c r="P49" s="6">
        <v>5.0000000000000001E-4</v>
      </c>
      <c r="Q49" s="6">
        <f>P49*N49</f>
        <v>0.35000000000000003</v>
      </c>
      <c r="R49" s="5"/>
    </row>
    <row r="50" spans="1:18" s="30" customFormat="1" ht="24" x14ac:dyDescent="0.25">
      <c r="A50" s="29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5">
        <f t="shared" si="1"/>
        <v>800</v>
      </c>
      <c r="N50" s="11">
        <v>900</v>
      </c>
      <c r="O50" s="16" t="s">
        <v>467</v>
      </c>
      <c r="P50" s="12">
        <v>5.9999999999999995E-4</v>
      </c>
      <c r="Q50" s="12">
        <f t="shared" ref="Q50" si="22">P50*N50</f>
        <v>0.53999999999999992</v>
      </c>
      <c r="R50" s="11"/>
    </row>
    <row r="51" spans="1:18" s="30" customFormat="1" x14ac:dyDescent="0.25">
      <c r="A51" s="29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 t="shared" si="1"/>
        <v>400</v>
      </c>
      <c r="N51" s="5">
        <v>500</v>
      </c>
      <c r="O51" s="16" t="s">
        <v>467</v>
      </c>
      <c r="P51" s="6">
        <v>6.9999999999999999E-4</v>
      </c>
      <c r="Q51" s="6">
        <f>P51*N51</f>
        <v>0.35</v>
      </c>
      <c r="R51" s="5"/>
    </row>
    <row r="52" spans="1:18" s="30" customFormat="1" ht="25.5" x14ac:dyDescent="0.25">
      <c r="A52" s="29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28">
        <f t="shared" si="1"/>
        <v>100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s="30" customFormat="1" x14ac:dyDescent="0.25">
      <c r="A53" s="29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 t="shared" si="1"/>
        <v>100</v>
      </c>
      <c r="N53" s="5">
        <v>120</v>
      </c>
      <c r="O53" s="16" t="s">
        <v>467</v>
      </c>
      <c r="P53" s="6">
        <v>2.58E-2</v>
      </c>
      <c r="Q53" s="6">
        <f>P53*N53</f>
        <v>3.0960000000000001</v>
      </c>
      <c r="R53" s="5"/>
    </row>
    <row r="54" spans="1:18" s="30" customFormat="1" x14ac:dyDescent="0.25">
      <c r="A54" s="29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5">
        <f t="shared" si="1"/>
        <v>200</v>
      </c>
      <c r="N54" s="11">
        <v>300</v>
      </c>
      <c r="O54" s="16" t="s">
        <v>467</v>
      </c>
      <c r="P54" s="12">
        <v>1.1999999999999999E-3</v>
      </c>
      <c r="Q54" s="12">
        <f t="shared" ref="Q54" si="23">P54*N54</f>
        <v>0.36</v>
      </c>
      <c r="R54" s="11"/>
    </row>
    <row r="55" spans="1:18" s="30" customFormat="1" ht="25.5" x14ac:dyDescent="0.25">
      <c r="A55" s="29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28">
        <f t="shared" si="1"/>
        <v>200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s="30" customFormat="1" x14ac:dyDescent="0.25">
      <c r="A56" s="29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5">
        <f t="shared" si="1"/>
        <v>400</v>
      </c>
      <c r="N56" s="11">
        <v>500</v>
      </c>
      <c r="O56" s="16" t="s">
        <v>467</v>
      </c>
      <c r="P56" s="12">
        <v>5.9999999999999995E-4</v>
      </c>
      <c r="Q56" s="12">
        <f t="shared" ref="Q56" si="24">P56*N56</f>
        <v>0.3</v>
      </c>
      <c r="R56" s="11"/>
    </row>
    <row r="57" spans="1:18" s="30" customFormat="1" x14ac:dyDescent="0.25">
      <c r="A57" s="29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 t="shared" si="1"/>
        <v>100</v>
      </c>
      <c r="N57" s="5">
        <v>200</v>
      </c>
      <c r="O57" s="16" t="s">
        <v>467</v>
      </c>
      <c r="P57" s="6">
        <v>8.9999999999999998E-4</v>
      </c>
      <c r="Q57" s="6">
        <f>P57*N57</f>
        <v>0.18</v>
      </c>
      <c r="R57" s="5"/>
    </row>
    <row r="58" spans="1:18" s="30" customFormat="1" ht="25.5" x14ac:dyDescent="0.25">
      <c r="A58" s="29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28">
        <f t="shared" si="1"/>
        <v>300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s="30" customFormat="1" x14ac:dyDescent="0.25">
      <c r="A59" s="29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 t="shared" si="1"/>
        <v>100</v>
      </c>
      <c r="N59" s="5">
        <v>200</v>
      </c>
      <c r="O59" s="15" t="s">
        <v>467</v>
      </c>
      <c r="P59" s="6">
        <v>1.1000000000000001E-3</v>
      </c>
      <c r="Q59" s="6">
        <f>P59*N59</f>
        <v>0.22</v>
      </c>
      <c r="R59" s="5"/>
    </row>
    <row r="60" spans="1:18" s="30" customFormat="1" ht="25.5" x14ac:dyDescent="0.25">
      <c r="A60" s="29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28">
        <f t="shared" si="1"/>
        <v>100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s="30" customFormat="1" x14ac:dyDescent="0.25">
      <c r="A61" s="29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 t="shared" si="1"/>
        <v>300</v>
      </c>
      <c r="N61" s="11">
        <v>400</v>
      </c>
      <c r="O61" s="16" t="s">
        <v>467</v>
      </c>
      <c r="P61" s="12">
        <v>6.9999999999999999E-4</v>
      </c>
      <c r="Q61" s="6">
        <f>P61*N61</f>
        <v>0.27999999999999997</v>
      </c>
      <c r="R61" s="5"/>
    </row>
    <row r="62" spans="1:18" s="30" customFormat="1" x14ac:dyDescent="0.25">
      <c r="A62" s="29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5">
        <f t="shared" si="1"/>
        <v>100</v>
      </c>
      <c r="N62" s="5">
        <v>200</v>
      </c>
      <c r="O62" s="15" t="s">
        <v>467</v>
      </c>
      <c r="P62" s="6">
        <v>5.0000000000000001E-3</v>
      </c>
      <c r="Q62" s="12">
        <f t="shared" ref="Q62" si="25">P62*N62</f>
        <v>1</v>
      </c>
      <c r="R62" s="11"/>
    </row>
    <row r="63" spans="1:18" s="30" customFormat="1" x14ac:dyDescent="0.25">
      <c r="A63" s="29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 t="shared" si="1"/>
        <v>200</v>
      </c>
      <c r="N63" s="5">
        <v>300</v>
      </c>
      <c r="O63" s="16" t="s">
        <v>467</v>
      </c>
      <c r="P63" s="6">
        <v>5.9999999999999995E-4</v>
      </c>
      <c r="Q63" s="6">
        <f>P63*N63</f>
        <v>0.18</v>
      </c>
      <c r="R63" s="5"/>
    </row>
    <row r="64" spans="1:18" s="30" customFormat="1" x14ac:dyDescent="0.25">
      <c r="A64" s="29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5">
        <f t="shared" si="1"/>
        <v>100</v>
      </c>
      <c r="N64" s="11">
        <v>150</v>
      </c>
      <c r="O64" s="16" t="s">
        <v>467</v>
      </c>
      <c r="P64" s="12">
        <v>1.03E-2</v>
      </c>
      <c r="Q64" s="12">
        <f t="shared" ref="Q64" si="26">P64*N64</f>
        <v>1.5449999999999999</v>
      </c>
      <c r="R64" s="11"/>
    </row>
    <row r="65" spans="1:18" s="30" customFormat="1" x14ac:dyDescent="0.25">
      <c r="A65" s="29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 t="shared" si="1"/>
        <v>100</v>
      </c>
      <c r="N65" s="11">
        <v>200</v>
      </c>
      <c r="O65" s="16" t="s">
        <v>467</v>
      </c>
      <c r="P65" s="12">
        <v>2.8E-3</v>
      </c>
      <c r="Q65" s="6">
        <f>P65*N65</f>
        <v>0.55999999999999994</v>
      </c>
      <c r="R65" s="5"/>
    </row>
    <row r="66" spans="1:18" s="30" customFormat="1" x14ac:dyDescent="0.25">
      <c r="A66" s="29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5">
        <f t="shared" si="1"/>
        <v>100</v>
      </c>
      <c r="N66" s="11">
        <v>200</v>
      </c>
      <c r="O66" s="16" t="s">
        <v>467</v>
      </c>
      <c r="P66" s="12">
        <v>5.9999999999999995E-4</v>
      </c>
      <c r="Q66" s="12">
        <f t="shared" ref="Q66" si="27">P66*N66</f>
        <v>0.12</v>
      </c>
      <c r="R66" s="11"/>
    </row>
    <row r="67" spans="1:18" s="30" customFormat="1" x14ac:dyDescent="0.25">
      <c r="A67" s="29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 t="shared" si="1"/>
        <v>100</v>
      </c>
      <c r="N67" s="11">
        <v>200</v>
      </c>
      <c r="O67" s="31" t="s">
        <v>467</v>
      </c>
      <c r="P67" s="12">
        <v>1.2999999999999999E-3</v>
      </c>
      <c r="Q67" s="6">
        <f>P67*N67</f>
        <v>0.26</v>
      </c>
      <c r="R67" s="5"/>
    </row>
    <row r="68" spans="1:18" s="30" customFormat="1" ht="36" x14ac:dyDescent="0.25">
      <c r="A68" s="29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5">
        <f t="shared" si="1"/>
        <v>100</v>
      </c>
      <c r="N68" s="5">
        <v>200</v>
      </c>
      <c r="O68" s="16" t="s">
        <v>467</v>
      </c>
      <c r="P68" s="6">
        <v>8.9999999999999998E-4</v>
      </c>
      <c r="Q68" s="12">
        <f t="shared" ref="Q68" si="28">P68*N68</f>
        <v>0.18</v>
      </c>
      <c r="R68" s="11"/>
    </row>
    <row r="69" spans="1:18" s="30" customFormat="1" x14ac:dyDescent="0.25">
      <c r="A69" s="29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 t="shared" si="1"/>
        <v>100</v>
      </c>
      <c r="N69" s="11">
        <v>200</v>
      </c>
      <c r="O69" s="16" t="s">
        <v>467</v>
      </c>
      <c r="P69" s="12">
        <v>2.0999999999999999E-3</v>
      </c>
      <c r="Q69" s="6">
        <f>P69*N69</f>
        <v>0.42</v>
      </c>
      <c r="R69" s="5"/>
    </row>
    <row r="70" spans="1:18" s="30" customFormat="1" x14ac:dyDescent="0.25">
      <c r="A70" s="29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5">
        <f t="shared" ref="M70:M93" si="29">L70*100</f>
        <v>100</v>
      </c>
      <c r="N70" s="5">
        <v>200</v>
      </c>
      <c r="O70" s="16" t="s">
        <v>467</v>
      </c>
      <c r="P70" s="6">
        <v>2.5999999999999999E-3</v>
      </c>
      <c r="Q70" s="12">
        <f t="shared" ref="Q70" si="30">P70*N70</f>
        <v>0.52</v>
      </c>
      <c r="R70" s="11"/>
    </row>
    <row r="71" spans="1:18" s="30" customFormat="1" ht="36" x14ac:dyDescent="0.25">
      <c r="A71" s="29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 t="shared" si="29"/>
        <v>100</v>
      </c>
      <c r="N71" s="11">
        <v>200</v>
      </c>
      <c r="O71" s="16" t="s">
        <v>467</v>
      </c>
      <c r="P71" s="12">
        <v>5.0000000000000001E-4</v>
      </c>
      <c r="Q71" s="6">
        <f>P71*N71</f>
        <v>0.1</v>
      </c>
      <c r="R71" s="5"/>
    </row>
    <row r="72" spans="1:18" s="30" customFormat="1" x14ac:dyDescent="0.25">
      <c r="A72" s="29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5">
        <f t="shared" si="29"/>
        <v>200</v>
      </c>
      <c r="N72" s="5">
        <v>200</v>
      </c>
      <c r="O72" s="16" t="s">
        <v>467</v>
      </c>
      <c r="P72" s="6">
        <v>1E-3</v>
      </c>
      <c r="Q72" s="12">
        <f t="shared" ref="Q72" si="31">P72*N72</f>
        <v>0.2</v>
      </c>
      <c r="R72" s="11"/>
    </row>
    <row r="73" spans="1:18" s="30" customFormat="1" x14ac:dyDescent="0.25">
      <c r="A73" s="29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 t="shared" si="29"/>
        <v>100</v>
      </c>
      <c r="N73" s="11">
        <v>101</v>
      </c>
      <c r="O73" s="16" t="s">
        <v>467</v>
      </c>
      <c r="P73" s="12">
        <v>0.32100000000000001</v>
      </c>
      <c r="Q73" s="6">
        <f>P73*N73</f>
        <v>32.420999999999999</v>
      </c>
      <c r="R73" s="5"/>
    </row>
    <row r="74" spans="1:18" s="30" customFormat="1" x14ac:dyDescent="0.25">
      <c r="A74" s="29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5">
        <f t="shared" si="29"/>
        <v>100</v>
      </c>
      <c r="N74" s="5">
        <v>120</v>
      </c>
      <c r="O74" s="16" t="s">
        <v>467</v>
      </c>
      <c r="P74" s="6">
        <v>3.6900000000000002E-2</v>
      </c>
      <c r="Q74" s="12">
        <f t="shared" ref="Q74" si="32">P74*N74</f>
        <v>4.4279999999999999</v>
      </c>
      <c r="R74" s="11"/>
    </row>
    <row r="75" spans="1:18" s="30" customFormat="1" x14ac:dyDescent="0.25">
      <c r="A75" s="29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 t="shared" si="29"/>
        <v>100</v>
      </c>
      <c r="N75" s="11">
        <v>120</v>
      </c>
      <c r="O75" s="16" t="s">
        <v>467</v>
      </c>
      <c r="P75" s="12">
        <v>3.6999999999999998E-2</v>
      </c>
      <c r="Q75" s="6">
        <f>P75*N75</f>
        <v>4.4399999999999995</v>
      </c>
      <c r="R75" s="5"/>
    </row>
    <row r="76" spans="1:18" s="30" customFormat="1" x14ac:dyDescent="0.25">
      <c r="A76" s="29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5">
        <f t="shared" si="29"/>
        <v>100</v>
      </c>
      <c r="N76" s="5">
        <v>120</v>
      </c>
      <c r="O76" s="16" t="s">
        <v>467</v>
      </c>
      <c r="P76" s="6">
        <v>2.07E-2</v>
      </c>
      <c r="Q76" s="12">
        <f t="shared" ref="Q76" si="33">P76*N76</f>
        <v>2.484</v>
      </c>
      <c r="R76" s="11"/>
    </row>
    <row r="77" spans="1:18" s="30" customFormat="1" ht="36" x14ac:dyDescent="0.25">
      <c r="A77" s="29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 t="shared" si="29"/>
        <v>100</v>
      </c>
      <c r="N77" s="5">
        <v>200</v>
      </c>
      <c r="O77" s="16" t="s">
        <v>467</v>
      </c>
      <c r="P77" s="6">
        <v>5.0000000000000001E-4</v>
      </c>
      <c r="Q77" s="6">
        <f>P77*N77</f>
        <v>0.1</v>
      </c>
      <c r="R77" s="5"/>
    </row>
    <row r="78" spans="1:18" s="30" customFormat="1" x14ac:dyDescent="0.25">
      <c r="A78" s="29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5">
        <f t="shared" si="29"/>
        <v>200</v>
      </c>
      <c r="N78" s="11">
        <v>250</v>
      </c>
      <c r="O78" s="16" t="s">
        <v>467</v>
      </c>
      <c r="P78" s="12">
        <v>7.7000000000000002E-3</v>
      </c>
      <c r="Q78" s="12">
        <f t="shared" ref="Q78" si="34">P78*N78</f>
        <v>1.925</v>
      </c>
      <c r="R78" s="11"/>
    </row>
    <row r="79" spans="1:18" s="30" customFormat="1" x14ac:dyDescent="0.25">
      <c r="A79" s="29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 t="shared" si="29"/>
        <v>100</v>
      </c>
      <c r="N79" s="5">
        <v>120</v>
      </c>
      <c r="O79" s="16" t="s">
        <v>467</v>
      </c>
      <c r="P79" s="6">
        <v>2.4299999999999999E-2</v>
      </c>
      <c r="Q79" s="6">
        <f>P79*N79</f>
        <v>2.9159999999999999</v>
      </c>
      <c r="R79" s="5"/>
    </row>
    <row r="80" spans="1:18" s="30" customFormat="1" x14ac:dyDescent="0.25">
      <c r="A80" s="29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5">
        <f t="shared" si="29"/>
        <v>400</v>
      </c>
      <c r="N80" s="5">
        <v>405</v>
      </c>
      <c r="O80" s="16" t="s">
        <v>467</v>
      </c>
      <c r="P80" s="6">
        <v>0.1066</v>
      </c>
      <c r="Q80" s="12">
        <f t="shared" ref="Q80" si="35">P80*N80</f>
        <v>43.173000000000002</v>
      </c>
      <c r="R80" s="11"/>
    </row>
    <row r="81" spans="1:18" s="30" customFormat="1" ht="36" x14ac:dyDescent="0.25">
      <c r="A81" s="29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 t="shared" si="29"/>
        <v>100</v>
      </c>
      <c r="N81" s="11">
        <v>50</v>
      </c>
      <c r="O81" s="16" t="s">
        <v>467</v>
      </c>
      <c r="P81" s="12">
        <v>1.3299999999999999E-2</v>
      </c>
      <c r="Q81" s="6">
        <f>P81*N81</f>
        <v>0.66499999999999992</v>
      </c>
      <c r="R81" s="5"/>
    </row>
    <row r="82" spans="1:18" s="30" customFormat="1" ht="24" x14ac:dyDescent="0.25">
      <c r="A82" s="29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5">
        <f t="shared" si="29"/>
        <v>100</v>
      </c>
      <c r="N82" s="11">
        <v>11</v>
      </c>
      <c r="O82" s="16" t="s">
        <v>467</v>
      </c>
      <c r="P82" s="12">
        <v>2.8976000000000002</v>
      </c>
      <c r="Q82" s="12">
        <f t="shared" ref="Q82" si="36">P82*N82</f>
        <v>31.873600000000003</v>
      </c>
      <c r="R82" s="11"/>
    </row>
    <row r="83" spans="1:18" s="30" customFormat="1" x14ac:dyDescent="0.25">
      <c r="A83" s="29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 t="shared" si="29"/>
        <v>100</v>
      </c>
      <c r="N83" s="5">
        <v>11</v>
      </c>
      <c r="O83" s="16" t="s">
        <v>467</v>
      </c>
      <c r="P83" s="6">
        <v>5.4526000000000003</v>
      </c>
      <c r="Q83" s="6">
        <f>P83*N83</f>
        <v>59.9786</v>
      </c>
      <c r="R83" s="5"/>
    </row>
    <row r="84" spans="1:18" s="30" customFormat="1" x14ac:dyDescent="0.25">
      <c r="A84" s="29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5">
        <f t="shared" si="29"/>
        <v>200</v>
      </c>
      <c r="N84" s="11">
        <v>21</v>
      </c>
      <c r="O84" s="16" t="s">
        <v>467</v>
      </c>
      <c r="P84" s="12">
        <v>2.4032</v>
      </c>
      <c r="Q84" s="12">
        <f t="shared" ref="Q84" si="37">P84*N84</f>
        <v>50.467199999999998</v>
      </c>
      <c r="R84" s="11"/>
    </row>
    <row r="85" spans="1:18" s="30" customFormat="1" ht="24" x14ac:dyDescent="0.25">
      <c r="A85" s="29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 t="shared" si="29"/>
        <v>100</v>
      </c>
      <c r="N85" s="5">
        <v>11</v>
      </c>
      <c r="O85" s="16" t="s">
        <v>467</v>
      </c>
      <c r="P85" s="6">
        <v>9.8475000000000001</v>
      </c>
      <c r="Q85" s="6">
        <f>P85*N85</f>
        <v>108.32250000000001</v>
      </c>
      <c r="R85" s="5"/>
    </row>
    <row r="86" spans="1:18" s="30" customFormat="1" ht="24" x14ac:dyDescent="0.25">
      <c r="A86" s="29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5">
        <f t="shared" si="29"/>
        <v>100</v>
      </c>
      <c r="N86" s="5">
        <v>11</v>
      </c>
      <c r="O86" s="16" t="s">
        <v>467</v>
      </c>
      <c r="P86" s="6">
        <v>1.7825</v>
      </c>
      <c r="Q86" s="12">
        <f t="shared" ref="Q86" si="38">P86*N86</f>
        <v>19.607499999999998</v>
      </c>
      <c r="R86" s="11"/>
    </row>
    <row r="87" spans="1:18" s="30" customFormat="1" x14ac:dyDescent="0.25">
      <c r="A87" s="29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 t="shared" si="29"/>
        <v>100</v>
      </c>
      <c r="N87" s="5">
        <v>11</v>
      </c>
      <c r="O87" s="16" t="s">
        <v>467</v>
      </c>
      <c r="P87" s="6">
        <v>1.0048999999999999</v>
      </c>
      <c r="Q87" s="6">
        <f>P87*N87</f>
        <v>11.053899999999999</v>
      </c>
      <c r="R87" s="5"/>
    </row>
    <row r="88" spans="1:18" s="30" customFormat="1" ht="24" x14ac:dyDescent="0.25">
      <c r="A88" s="29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5">
        <f t="shared" si="29"/>
        <v>100</v>
      </c>
      <c r="N88" s="11">
        <v>20</v>
      </c>
      <c r="O88" s="16" t="s">
        <v>467</v>
      </c>
      <c r="P88" s="12">
        <v>0.15359999999999999</v>
      </c>
      <c r="Q88" s="12">
        <f t="shared" ref="Q88" si="39">P88*N88</f>
        <v>3.0719999999999996</v>
      </c>
      <c r="R88" s="11"/>
    </row>
    <row r="89" spans="1:18" s="30" customFormat="1" x14ac:dyDescent="0.25">
      <c r="A89" s="29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 t="shared" si="29"/>
        <v>200</v>
      </c>
      <c r="N89" s="11">
        <v>25</v>
      </c>
      <c r="O89" s="16" t="s">
        <v>467</v>
      </c>
      <c r="P89" s="12">
        <v>0.19159999999999999</v>
      </c>
      <c r="Q89" s="6">
        <f>P89*N89</f>
        <v>4.79</v>
      </c>
      <c r="R89" s="5"/>
    </row>
    <row r="90" spans="1:18" s="30" customFormat="1" ht="24" x14ac:dyDescent="0.25">
      <c r="A90" s="29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5">
        <f t="shared" si="29"/>
        <v>100</v>
      </c>
      <c r="N90" s="5">
        <v>20</v>
      </c>
      <c r="O90" s="16" t="s">
        <v>467</v>
      </c>
      <c r="P90" s="6">
        <v>8.0799999999999997E-2</v>
      </c>
      <c r="Q90" s="12">
        <f t="shared" ref="Q90" si="40">P90*N90</f>
        <v>1.6159999999999999</v>
      </c>
      <c r="R90" s="11"/>
    </row>
    <row r="91" spans="1:18" s="30" customFormat="1" ht="24" x14ac:dyDescent="0.25">
      <c r="A91" s="29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 t="shared" si="29"/>
        <v>100</v>
      </c>
      <c r="N91" s="11">
        <v>20</v>
      </c>
      <c r="O91" s="16" t="s">
        <v>467</v>
      </c>
      <c r="P91" s="12">
        <v>0.2306</v>
      </c>
      <c r="Q91" s="6">
        <f>P91*N91</f>
        <v>4.6120000000000001</v>
      </c>
      <c r="R91" s="5"/>
    </row>
    <row r="92" spans="1:18" s="30" customFormat="1" ht="36" x14ac:dyDescent="0.25">
      <c r="A92" s="29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5">
        <f t="shared" si="29"/>
        <v>100</v>
      </c>
      <c r="N92" s="11">
        <v>20</v>
      </c>
      <c r="O92" s="16" t="s">
        <v>467</v>
      </c>
      <c r="P92" s="12">
        <v>5.8200000000000002E-2</v>
      </c>
      <c r="Q92" s="12">
        <f t="shared" ref="Q92" si="41">P92*N92</f>
        <v>1.1640000000000001</v>
      </c>
      <c r="R92" s="11"/>
    </row>
    <row r="93" spans="1:18" s="30" customFormat="1" ht="15.75" thickBot="1" x14ac:dyDescent="0.3">
      <c r="A93" s="29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 t="shared" si="29"/>
        <v>100</v>
      </c>
      <c r="N93" s="5">
        <v>20</v>
      </c>
      <c r="O93" s="16" t="s">
        <v>467</v>
      </c>
      <c r="P93" s="6">
        <v>0.25950000000000001</v>
      </c>
      <c r="Q93" s="6">
        <f>P93*N93</f>
        <v>5.19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5" t="s">
        <v>1</v>
      </c>
      <c r="O94" s="26"/>
      <c r="P94" s="26"/>
      <c r="Q94" s="9">
        <f>SUM(Q5:Q93)</f>
        <v>796.40255000000025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5" t="s">
        <v>2</v>
      </c>
      <c r="O95" s="26"/>
      <c r="P95" s="26"/>
      <c r="Q95" s="10">
        <f>Q94/100</f>
        <v>7.9640255000000026</v>
      </c>
      <c r="R95" s="1"/>
    </row>
    <row r="96" spans="1:18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26.25" x14ac:dyDescent="0.25">
      <c r="A97" s="1"/>
      <c r="B97" s="2"/>
      <c r="C97" s="2"/>
      <c r="D97" s="27" t="s">
        <v>487</v>
      </c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3"/>
      <c r="Q97" s="23"/>
      <c r="R97" s="23"/>
    </row>
    <row r="98" spans="1:18" ht="15.75" thickBot="1" x14ac:dyDescent="0.3">
      <c r="A98" s="1"/>
      <c r="B98" s="2"/>
      <c r="C98" s="2"/>
      <c r="D98" s="22"/>
      <c r="E98" s="22"/>
      <c r="F98" s="22"/>
      <c r="G98" s="22"/>
      <c r="H98" s="22"/>
      <c r="I98" s="22"/>
      <c r="J98" s="22"/>
      <c r="K98" s="23"/>
      <c r="L98" s="23"/>
      <c r="M98" s="23"/>
      <c r="N98" s="23"/>
      <c r="O98" s="23"/>
      <c r="P98" s="23"/>
      <c r="Q98" s="23"/>
      <c r="R98" s="23"/>
    </row>
    <row r="99" spans="1:18" ht="15.75" thickBot="1" x14ac:dyDescent="0.3">
      <c r="A99" s="1"/>
      <c r="B99" s="4" t="s">
        <v>0</v>
      </c>
      <c r="C99" s="4" t="s">
        <v>3</v>
      </c>
      <c r="D99" s="4" t="s">
        <v>16</v>
      </c>
      <c r="E99" s="4" t="s">
        <v>106</v>
      </c>
      <c r="F99" s="4" t="s">
        <v>190</v>
      </c>
      <c r="G99" s="4" t="s">
        <v>220</v>
      </c>
      <c r="H99" s="4" t="s">
        <v>298</v>
      </c>
      <c r="I99" s="4" t="s">
        <v>459</v>
      </c>
      <c r="J99" s="4" t="s">
        <v>327</v>
      </c>
      <c r="K99" s="4" t="s">
        <v>460</v>
      </c>
      <c r="L99" s="4" t="s">
        <v>458</v>
      </c>
      <c r="M99" s="4" t="s">
        <v>950</v>
      </c>
      <c r="N99" s="4" t="s">
        <v>951</v>
      </c>
      <c r="O99" s="4" t="s">
        <v>463</v>
      </c>
      <c r="P99" s="4" t="s">
        <v>952</v>
      </c>
      <c r="Q99" s="4" t="s">
        <v>953</v>
      </c>
      <c r="R99" s="4" t="s">
        <v>466</v>
      </c>
    </row>
    <row r="100" spans="1:18" s="30" customFormat="1" x14ac:dyDescent="0.25">
      <c r="A100" s="29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L100*100</f>
        <v>200</v>
      </c>
      <c r="N100" s="11">
        <v>100</v>
      </c>
      <c r="O100" s="16" t="s">
        <v>467</v>
      </c>
      <c r="P100" s="12">
        <v>3.8999999999999998E-3</v>
      </c>
      <c r="Q100" s="6">
        <f>P100*N100</f>
        <v>0.38999999999999996</v>
      </c>
      <c r="R100" s="5"/>
    </row>
    <row r="101" spans="1:18" s="30" customFormat="1" x14ac:dyDescent="0.25">
      <c r="A101" s="29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5">
        <f t="shared" ref="M101:M124" si="42">L101*100</f>
        <v>100</v>
      </c>
      <c r="N101" s="5">
        <v>100</v>
      </c>
      <c r="O101" s="16" t="s">
        <v>467</v>
      </c>
      <c r="P101" s="6">
        <v>5.1999999999999998E-3</v>
      </c>
      <c r="Q101" s="12">
        <f t="shared" ref="Q101" si="43">P101*N101</f>
        <v>0.52</v>
      </c>
      <c r="R101" s="11"/>
    </row>
    <row r="102" spans="1:18" s="30" customFormat="1" x14ac:dyDescent="0.25">
      <c r="A102" s="29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 t="shared" si="42"/>
        <v>100</v>
      </c>
      <c r="N102" s="11">
        <v>100</v>
      </c>
      <c r="O102" s="16" t="s">
        <v>467</v>
      </c>
      <c r="P102" s="12">
        <v>2.5999999999999999E-3</v>
      </c>
      <c r="Q102" s="6">
        <f>P102*N102</f>
        <v>0.26</v>
      </c>
      <c r="R102" s="5"/>
    </row>
    <row r="103" spans="1:18" s="30" customFormat="1" ht="24" x14ac:dyDescent="0.25">
      <c r="A103" s="29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5">
        <f t="shared" si="42"/>
        <v>100</v>
      </c>
      <c r="N103" s="5">
        <v>100</v>
      </c>
      <c r="O103" s="16" t="s">
        <v>467</v>
      </c>
      <c r="P103" s="6">
        <v>2.8999999999999998E-3</v>
      </c>
      <c r="Q103" s="12">
        <f t="shared" ref="Q103" si="44">P103*N103</f>
        <v>0.28999999999999998</v>
      </c>
      <c r="R103" s="11"/>
    </row>
    <row r="104" spans="1:18" s="30" customFormat="1" x14ac:dyDescent="0.25">
      <c r="A104" s="29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 t="shared" si="42"/>
        <v>200</v>
      </c>
      <c r="N104" s="11">
        <v>25</v>
      </c>
      <c r="O104" s="16" t="s">
        <v>467</v>
      </c>
      <c r="P104" s="12">
        <v>0.17419999999999999</v>
      </c>
      <c r="Q104" s="6">
        <f>P104*N104</f>
        <v>4.3549999999999995</v>
      </c>
      <c r="R104" s="5"/>
    </row>
    <row r="105" spans="1:18" s="30" customFormat="1" x14ac:dyDescent="0.25">
      <c r="A105" s="29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5">
        <f t="shared" si="42"/>
        <v>100</v>
      </c>
      <c r="N105" s="5">
        <v>100</v>
      </c>
      <c r="O105" s="16" t="s">
        <v>467</v>
      </c>
      <c r="P105" s="6">
        <v>4.8999999999999998E-3</v>
      </c>
      <c r="Q105" s="12">
        <f t="shared" ref="Q105" si="45">P105*N105</f>
        <v>0.49</v>
      </c>
      <c r="R105" s="11"/>
    </row>
    <row r="106" spans="1:18" s="30" customFormat="1" ht="24" x14ac:dyDescent="0.25">
      <c r="A106" s="29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 t="shared" si="42"/>
        <v>200</v>
      </c>
      <c r="N106" s="5">
        <v>25</v>
      </c>
      <c r="O106" s="16" t="s">
        <v>467</v>
      </c>
      <c r="P106" s="6">
        <v>0.17219999999999999</v>
      </c>
      <c r="Q106" s="6">
        <f>P106*N106</f>
        <v>4.3049999999999997</v>
      </c>
      <c r="R106" s="5"/>
    </row>
    <row r="107" spans="1:18" s="30" customFormat="1" x14ac:dyDescent="0.25">
      <c r="A107" s="29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5">
        <f t="shared" si="42"/>
        <v>100</v>
      </c>
      <c r="N107" s="11">
        <v>100</v>
      </c>
      <c r="O107" s="16" t="s">
        <v>467</v>
      </c>
      <c r="P107" s="12">
        <v>3.5000000000000001E-3</v>
      </c>
      <c r="Q107" s="12">
        <f t="shared" ref="Q107" si="46">P107*N107</f>
        <v>0.35000000000000003</v>
      </c>
      <c r="R107" s="11"/>
    </row>
    <row r="108" spans="1:18" s="30" customFormat="1" ht="24" x14ac:dyDescent="0.25">
      <c r="A108" s="29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 t="shared" si="42"/>
        <v>200</v>
      </c>
      <c r="N108" s="11">
        <v>50</v>
      </c>
      <c r="O108" s="16" t="s">
        <v>467</v>
      </c>
      <c r="P108" s="12">
        <v>8.9999999999999993E-3</v>
      </c>
      <c r="Q108" s="6">
        <f>P108*N108</f>
        <v>0.44999999999999996</v>
      </c>
      <c r="R108" s="5"/>
    </row>
    <row r="109" spans="1:18" s="30" customFormat="1" x14ac:dyDescent="0.25">
      <c r="A109" s="29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5">
        <f t="shared" si="42"/>
        <v>200</v>
      </c>
      <c r="N109" s="11">
        <v>40</v>
      </c>
      <c r="O109" s="16" t="s">
        <v>467</v>
      </c>
      <c r="P109" s="12">
        <v>0.1769</v>
      </c>
      <c r="Q109" s="12">
        <f t="shared" ref="Q109" si="47">P109*N109</f>
        <v>7.0760000000000005</v>
      </c>
      <c r="R109" s="11"/>
    </row>
    <row r="110" spans="1:18" s="30" customFormat="1" ht="48" x14ac:dyDescent="0.25">
      <c r="A110" s="29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 t="shared" si="42"/>
        <v>100</v>
      </c>
      <c r="N110" s="5">
        <v>50</v>
      </c>
      <c r="O110" s="16" t="s">
        <v>467</v>
      </c>
      <c r="P110" s="6">
        <v>1.6899999999999998E-2</v>
      </c>
      <c r="Q110" s="6">
        <f>P110*N110</f>
        <v>0.84499999999999997</v>
      </c>
      <c r="R110" s="5"/>
    </row>
    <row r="111" spans="1:18" s="30" customFormat="1" ht="24" x14ac:dyDescent="0.25">
      <c r="A111" s="29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5">
        <f t="shared" si="42"/>
        <v>100</v>
      </c>
      <c r="N111" s="5">
        <v>15</v>
      </c>
      <c r="O111" s="16" t="s">
        <v>467</v>
      </c>
      <c r="P111" s="6">
        <v>0.14760000000000001</v>
      </c>
      <c r="Q111" s="12">
        <f t="shared" ref="Q111" si="48">P111*N111</f>
        <v>2.214</v>
      </c>
      <c r="R111" s="11"/>
    </row>
    <row r="112" spans="1:18" s="30" customFormat="1" x14ac:dyDescent="0.25">
      <c r="A112" s="29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 t="shared" si="42"/>
        <v>100</v>
      </c>
      <c r="N112" s="11">
        <v>20</v>
      </c>
      <c r="O112" s="16" t="s">
        <v>467</v>
      </c>
      <c r="P112" s="12">
        <v>3.85E-2</v>
      </c>
      <c r="Q112" s="6">
        <f>P112*N112</f>
        <v>0.77</v>
      </c>
      <c r="R112" s="5"/>
    </row>
    <row r="113" spans="1:18" s="30" customFormat="1" ht="48" x14ac:dyDescent="0.25">
      <c r="A113" s="29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5">
        <f t="shared" si="42"/>
        <v>100</v>
      </c>
      <c r="N113" s="11">
        <v>20</v>
      </c>
      <c r="O113" s="16" t="s">
        <v>467</v>
      </c>
      <c r="P113" s="12">
        <v>3.2399999999999998E-2</v>
      </c>
      <c r="Q113" s="12">
        <f t="shared" ref="Q113" si="49">P113*N113</f>
        <v>0.64799999999999991</v>
      </c>
      <c r="R113" s="11"/>
    </row>
    <row r="114" spans="1:18" s="30" customFormat="1" x14ac:dyDescent="0.25">
      <c r="A114" s="29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 t="shared" si="42"/>
        <v>100</v>
      </c>
      <c r="N114" s="5">
        <v>100</v>
      </c>
      <c r="O114" s="16" t="s">
        <v>467</v>
      </c>
      <c r="P114" s="6">
        <v>5.0000000000000001E-4</v>
      </c>
      <c r="Q114" s="6">
        <f>P114*N114</f>
        <v>0.05</v>
      </c>
      <c r="R114" s="5"/>
    </row>
    <row r="115" spans="1:18" s="30" customFormat="1" x14ac:dyDescent="0.25">
      <c r="A115" s="29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5">
        <f t="shared" si="42"/>
        <v>200</v>
      </c>
      <c r="N115" s="5">
        <v>100</v>
      </c>
      <c r="O115" s="16" t="s">
        <v>467</v>
      </c>
      <c r="P115" s="6">
        <v>6.9999999999999999E-4</v>
      </c>
      <c r="Q115" s="12">
        <f t="shared" ref="Q115" si="50">P115*N115</f>
        <v>6.9999999999999993E-2</v>
      </c>
      <c r="R115" s="11"/>
    </row>
    <row r="116" spans="1:18" s="30" customFormat="1" x14ac:dyDescent="0.25">
      <c r="A116" s="29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 t="shared" si="42"/>
        <v>100</v>
      </c>
      <c r="N116" s="11">
        <v>100</v>
      </c>
      <c r="O116" s="31" t="s">
        <v>467</v>
      </c>
      <c r="P116" s="12">
        <v>1.2999999999999999E-3</v>
      </c>
      <c r="Q116" s="6">
        <f>P116*N116</f>
        <v>0.13</v>
      </c>
      <c r="R116" s="5"/>
    </row>
    <row r="117" spans="1:18" s="30" customFormat="1" x14ac:dyDescent="0.25">
      <c r="A117" s="29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5">
        <f t="shared" si="42"/>
        <v>200</v>
      </c>
      <c r="N117" s="5">
        <v>100</v>
      </c>
      <c r="O117" s="16" t="s">
        <v>467</v>
      </c>
      <c r="P117" s="6">
        <v>1.1999999999999999E-3</v>
      </c>
      <c r="Q117" s="12">
        <f t="shared" ref="Q117" si="51">P117*N117</f>
        <v>0.12</v>
      </c>
      <c r="R117" s="11"/>
    </row>
    <row r="118" spans="1:18" s="30" customFormat="1" x14ac:dyDescent="0.25">
      <c r="A118" s="29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 t="shared" si="42"/>
        <v>100</v>
      </c>
      <c r="N118" s="11">
        <v>20</v>
      </c>
      <c r="O118" s="16" t="s">
        <v>467</v>
      </c>
      <c r="P118" s="12">
        <v>2.4299999999999999E-2</v>
      </c>
      <c r="Q118" s="6">
        <f>P118*N118</f>
        <v>0.48599999999999999</v>
      </c>
      <c r="R118" s="5"/>
    </row>
    <row r="119" spans="1:18" s="30" customFormat="1" ht="24" x14ac:dyDescent="0.25">
      <c r="A119" s="29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5">
        <f t="shared" si="42"/>
        <v>200</v>
      </c>
      <c r="N119" s="5">
        <v>100</v>
      </c>
      <c r="O119" s="16" t="s">
        <v>467</v>
      </c>
      <c r="P119" s="6">
        <v>3.5999999999999999E-3</v>
      </c>
      <c r="Q119" s="12">
        <f t="shared" ref="Q119" si="52">P119*N119</f>
        <v>0.36</v>
      </c>
      <c r="R119" s="11"/>
    </row>
    <row r="120" spans="1:18" s="30" customFormat="1" x14ac:dyDescent="0.25">
      <c r="A120" s="29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 t="shared" si="42"/>
        <v>100</v>
      </c>
      <c r="N120" s="11">
        <v>100</v>
      </c>
      <c r="O120" s="16" t="s">
        <v>467</v>
      </c>
      <c r="P120" s="12">
        <v>1.1999999999999999E-3</v>
      </c>
      <c r="Q120" s="6">
        <f>P120*N120</f>
        <v>0.12</v>
      </c>
      <c r="R120" s="5"/>
    </row>
    <row r="121" spans="1:18" s="30" customFormat="1" x14ac:dyDescent="0.25">
      <c r="A121" s="29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5">
        <f t="shared" si="42"/>
        <v>100</v>
      </c>
      <c r="N121" s="5">
        <v>20</v>
      </c>
      <c r="O121" s="16" t="s">
        <v>467</v>
      </c>
      <c r="P121" s="6">
        <v>2.07E-2</v>
      </c>
      <c r="Q121" s="12">
        <f t="shared" ref="Q121" si="53">P121*N121</f>
        <v>0.41399999999999998</v>
      </c>
      <c r="R121" s="11"/>
    </row>
    <row r="122" spans="1:18" s="30" customFormat="1" ht="24" x14ac:dyDescent="0.25">
      <c r="A122" s="29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 t="shared" si="42"/>
        <v>100</v>
      </c>
      <c r="N122" s="11">
        <v>11</v>
      </c>
      <c r="O122" s="16" t="s">
        <v>467</v>
      </c>
      <c r="P122" s="12">
        <v>0.36249999999999999</v>
      </c>
      <c r="Q122" s="6">
        <f>P122*N122</f>
        <v>3.9874999999999998</v>
      </c>
      <c r="R122" s="5"/>
    </row>
    <row r="123" spans="1:18" s="30" customFormat="1" ht="24" x14ac:dyDescent="0.25">
      <c r="A123" s="29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5">
        <f t="shared" si="42"/>
        <v>100</v>
      </c>
      <c r="N123" s="11">
        <v>11</v>
      </c>
      <c r="O123" s="16" t="s">
        <v>467</v>
      </c>
      <c r="P123" s="12">
        <v>0.61419999999999997</v>
      </c>
      <c r="Q123" s="12">
        <f t="shared" ref="Q123:Q124" si="54">P123*N123</f>
        <v>6.7561999999999998</v>
      </c>
      <c r="R123" s="11"/>
    </row>
    <row r="124" spans="1:18" s="30" customFormat="1" ht="48.75" thickBot="1" x14ac:dyDescent="0.3">
      <c r="A124" s="29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5">
        <f t="shared" si="42"/>
        <v>100</v>
      </c>
      <c r="N124" s="5">
        <v>10</v>
      </c>
      <c r="O124" s="16" t="s">
        <v>945</v>
      </c>
      <c r="P124" s="6">
        <v>15.4</v>
      </c>
      <c r="Q124" s="12">
        <f t="shared" si="54"/>
        <v>154</v>
      </c>
      <c r="R124" s="11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5" t="s">
        <v>1</v>
      </c>
      <c r="O125" s="26"/>
      <c r="P125" s="26"/>
      <c r="Q125" s="9">
        <f>SUM(Q100:Q124)</f>
        <v>189.45670000000001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5" t="s">
        <v>2</v>
      </c>
      <c r="O126" s="26"/>
      <c r="P126" s="26"/>
      <c r="Q126" s="10">
        <f>Q125/100</f>
        <v>1.8945670000000001</v>
      </c>
      <c r="R126" s="1"/>
    </row>
    <row r="127" spans="1:18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26.25" x14ac:dyDescent="0.25">
      <c r="A128" s="1"/>
      <c r="B128" s="2"/>
      <c r="C128" s="2"/>
      <c r="D128" s="22"/>
      <c r="E128" s="22"/>
      <c r="F128" s="22"/>
      <c r="G128" s="27" t="s">
        <v>581</v>
      </c>
      <c r="H128" s="27"/>
      <c r="I128" s="27"/>
      <c r="J128" s="22"/>
      <c r="K128" s="23"/>
      <c r="L128" s="23"/>
      <c r="M128" s="23"/>
      <c r="N128" s="23"/>
      <c r="O128" s="23"/>
      <c r="P128" s="23"/>
      <c r="Q128" s="23"/>
      <c r="R128" s="23"/>
    </row>
    <row r="129" spans="1:18" ht="15.75" thickBot="1" x14ac:dyDescent="0.3">
      <c r="A129" s="1"/>
      <c r="B129" s="2"/>
      <c r="C129" s="2"/>
      <c r="D129" s="22"/>
      <c r="E129" s="22"/>
      <c r="F129" s="22"/>
      <c r="G129" s="22"/>
      <c r="H129" s="22"/>
      <c r="I129" s="22"/>
      <c r="J129" s="22"/>
      <c r="K129" s="23"/>
      <c r="L129" s="23"/>
      <c r="M129" s="23"/>
      <c r="N129" s="23"/>
      <c r="O129" s="23"/>
      <c r="P129" s="23"/>
      <c r="Q129" s="23"/>
      <c r="R129" s="23"/>
    </row>
    <row r="130" spans="1:18" ht="15.75" thickBot="1" x14ac:dyDescent="0.3">
      <c r="A130" s="1"/>
      <c r="B130" s="4" t="s">
        <v>0</v>
      </c>
      <c r="C130" s="4" t="s">
        <v>3</v>
      </c>
      <c r="D130" s="4" t="s">
        <v>16</v>
      </c>
      <c r="E130" s="4" t="s">
        <v>106</v>
      </c>
      <c r="F130" s="4" t="s">
        <v>190</v>
      </c>
      <c r="G130" s="4" t="s">
        <v>220</v>
      </c>
      <c r="H130" s="4" t="s">
        <v>298</v>
      </c>
      <c r="I130" s="4" t="s">
        <v>459</v>
      </c>
      <c r="J130" s="4" t="s">
        <v>327</v>
      </c>
      <c r="K130" s="4" t="s">
        <v>460</v>
      </c>
      <c r="L130" s="4" t="s">
        <v>458</v>
      </c>
      <c r="M130" s="4" t="s">
        <v>950</v>
      </c>
      <c r="N130" s="4" t="s">
        <v>951</v>
      </c>
      <c r="O130" s="4" t="s">
        <v>463</v>
      </c>
      <c r="P130" s="4" t="s">
        <v>952</v>
      </c>
      <c r="Q130" s="4" t="s">
        <v>953</v>
      </c>
      <c r="R130" s="4" t="s">
        <v>466</v>
      </c>
    </row>
    <row r="131" spans="1:18" s="30" customFormat="1" x14ac:dyDescent="0.25">
      <c r="A131" s="29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L131*100</f>
        <v>600</v>
      </c>
      <c r="N131" s="5">
        <v>700</v>
      </c>
      <c r="O131" s="16" t="s">
        <v>467</v>
      </c>
      <c r="P131" s="6">
        <v>4.8999999999999998E-3</v>
      </c>
      <c r="Q131" s="6">
        <f>P131*N131</f>
        <v>3.4299999999999997</v>
      </c>
      <c r="R131" s="5"/>
    </row>
    <row r="132" spans="1:18" s="30" customFormat="1" x14ac:dyDescent="0.25">
      <c r="A132" s="29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5">
        <f t="shared" ref="M132:M181" si="55">L132*100</f>
        <v>600</v>
      </c>
      <c r="N132" s="11">
        <v>700</v>
      </c>
      <c r="O132" s="16" t="s">
        <v>467</v>
      </c>
      <c r="P132" s="12">
        <v>3.8999999999999998E-3</v>
      </c>
      <c r="Q132" s="12">
        <f t="shared" ref="Q132" si="56">P132*N132</f>
        <v>2.73</v>
      </c>
      <c r="R132" s="11"/>
    </row>
    <row r="133" spans="1:18" s="30" customFormat="1" ht="60" x14ac:dyDescent="0.25">
      <c r="A133" s="29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 t="shared" si="55"/>
        <v>2300</v>
      </c>
      <c r="N133" s="5">
        <v>2400</v>
      </c>
      <c r="O133" s="16" t="s">
        <v>467</v>
      </c>
      <c r="P133" s="6">
        <v>8.0000000000000004E-4</v>
      </c>
      <c r="Q133" s="6">
        <f>P133*N133</f>
        <v>1.9200000000000002</v>
      </c>
      <c r="R133" s="5"/>
    </row>
    <row r="134" spans="1:18" s="30" customFormat="1" x14ac:dyDescent="0.25">
      <c r="A134" s="29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5">
        <f t="shared" si="55"/>
        <v>500</v>
      </c>
      <c r="N134" s="11">
        <v>600</v>
      </c>
      <c r="O134" s="16" t="s">
        <v>467</v>
      </c>
      <c r="P134" s="12">
        <v>1.21E-2</v>
      </c>
      <c r="Q134" s="12">
        <f t="shared" ref="Q134" si="57">P134*N134</f>
        <v>7.26</v>
      </c>
      <c r="R134" s="11"/>
    </row>
    <row r="135" spans="1:18" s="30" customFormat="1" x14ac:dyDescent="0.25">
      <c r="A135" s="29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 t="shared" si="55"/>
        <v>400</v>
      </c>
      <c r="N135" s="11">
        <v>500</v>
      </c>
      <c r="O135" s="16" t="s">
        <v>467</v>
      </c>
      <c r="P135" s="12">
        <v>8.9999999999999998E-4</v>
      </c>
      <c r="Q135" s="6">
        <f>P135*N135</f>
        <v>0.45</v>
      </c>
      <c r="R135" s="5"/>
    </row>
    <row r="136" spans="1:18" s="30" customFormat="1" x14ac:dyDescent="0.25">
      <c r="A136" s="29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 t="shared" si="55"/>
        <v>100</v>
      </c>
      <c r="N136" s="11">
        <v>200</v>
      </c>
      <c r="O136" s="16" t="s">
        <v>467</v>
      </c>
      <c r="P136" s="12">
        <v>5.4000000000000003E-3</v>
      </c>
      <c r="Q136" s="6">
        <f>P136*N136</f>
        <v>1.08</v>
      </c>
      <c r="R136" s="5"/>
    </row>
    <row r="137" spans="1:18" s="30" customFormat="1" x14ac:dyDescent="0.25">
      <c r="A137" s="29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5">
        <f t="shared" si="55"/>
        <v>200</v>
      </c>
      <c r="N137" s="11">
        <v>300</v>
      </c>
      <c r="O137" s="16" t="s">
        <v>467</v>
      </c>
      <c r="P137" s="12">
        <v>1E-3</v>
      </c>
      <c r="Q137" s="12">
        <f t="shared" ref="Q137" si="58">P137*N137</f>
        <v>0.3</v>
      </c>
      <c r="R137" s="11"/>
    </row>
    <row r="138" spans="1:18" s="30" customFormat="1" x14ac:dyDescent="0.25">
      <c r="A138" s="29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 t="shared" si="55"/>
        <v>100</v>
      </c>
      <c r="N138" s="5">
        <v>101</v>
      </c>
      <c r="O138" s="16" t="s">
        <v>467</v>
      </c>
      <c r="P138" s="6">
        <v>0.88419999999999999</v>
      </c>
      <c r="Q138" s="6">
        <f>P138*N138</f>
        <v>89.304199999999994</v>
      </c>
      <c r="R138" s="5"/>
    </row>
    <row r="139" spans="1:18" s="30" customFormat="1" x14ac:dyDescent="0.25">
      <c r="A139" s="29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5">
        <f t="shared" si="55"/>
        <v>400</v>
      </c>
      <c r="N139" s="11">
        <v>410</v>
      </c>
      <c r="O139" s="16" t="s">
        <v>467</v>
      </c>
      <c r="P139" s="12">
        <v>2.8000000000000001E-2</v>
      </c>
      <c r="Q139" s="12">
        <f t="shared" ref="Q139" si="59">P139*N139</f>
        <v>11.48</v>
      </c>
      <c r="R139" s="11"/>
    </row>
    <row r="140" spans="1:18" s="30" customFormat="1" x14ac:dyDescent="0.25">
      <c r="A140" s="29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 t="shared" si="55"/>
        <v>100</v>
      </c>
      <c r="N140" s="5">
        <v>120</v>
      </c>
      <c r="O140" s="16" t="s">
        <v>467</v>
      </c>
      <c r="P140" s="6">
        <v>3.5900000000000001E-2</v>
      </c>
      <c r="Q140" s="6">
        <f>P140*N140</f>
        <v>4.3079999999999998</v>
      </c>
      <c r="R140" s="5"/>
    </row>
    <row r="141" spans="1:18" s="30" customFormat="1" ht="36" x14ac:dyDescent="0.25">
      <c r="A141" s="29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5">
        <f t="shared" si="55"/>
        <v>200</v>
      </c>
      <c r="N141" s="11">
        <v>300</v>
      </c>
      <c r="O141" s="16" t="s">
        <v>467</v>
      </c>
      <c r="P141" s="12">
        <v>5.5999999999999999E-3</v>
      </c>
      <c r="Q141" s="12">
        <f t="shared" ref="Q141" si="60">P141*N141</f>
        <v>1.68</v>
      </c>
      <c r="R141" s="11"/>
    </row>
    <row r="142" spans="1:18" s="30" customFormat="1" ht="24" x14ac:dyDescent="0.25">
      <c r="A142" s="29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 t="shared" si="55"/>
        <v>1200</v>
      </c>
      <c r="N142" s="5">
        <v>1220</v>
      </c>
      <c r="O142" s="16" t="s">
        <v>467</v>
      </c>
      <c r="P142" s="6">
        <v>1.5100000000000001E-2</v>
      </c>
      <c r="Q142" s="6">
        <f>P142*N142</f>
        <v>18.422000000000001</v>
      </c>
      <c r="R142" s="5"/>
    </row>
    <row r="143" spans="1:18" s="30" customFormat="1" x14ac:dyDescent="0.25">
      <c r="A143" s="29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5">
        <f t="shared" si="55"/>
        <v>300</v>
      </c>
      <c r="N143" s="5">
        <v>305</v>
      </c>
      <c r="O143" s="16" t="s">
        <v>467</v>
      </c>
      <c r="P143" s="6">
        <v>0.1013</v>
      </c>
      <c r="Q143" s="12">
        <f t="shared" ref="Q143" si="61">P143*N143</f>
        <v>30.8965</v>
      </c>
      <c r="R143" s="11"/>
    </row>
    <row r="144" spans="1:18" s="30" customFormat="1" x14ac:dyDescent="0.25">
      <c r="A144" s="29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 t="shared" si="55"/>
        <v>100</v>
      </c>
      <c r="N144" s="5">
        <v>105</v>
      </c>
      <c r="O144" s="16" t="s">
        <v>467</v>
      </c>
      <c r="P144" s="6">
        <v>0.10639999999999999</v>
      </c>
      <c r="Q144" s="6">
        <f>P144*N144</f>
        <v>11.171999999999999</v>
      </c>
      <c r="R144" s="5"/>
    </row>
    <row r="145" spans="1:18" s="30" customFormat="1" ht="24" x14ac:dyDescent="0.25">
      <c r="A145" s="29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5">
        <f t="shared" si="55"/>
        <v>200</v>
      </c>
      <c r="N145" s="5">
        <v>300</v>
      </c>
      <c r="O145" s="16" t="s">
        <v>467</v>
      </c>
      <c r="P145" s="6">
        <v>4.7000000000000002E-3</v>
      </c>
      <c r="Q145" s="12">
        <f t="shared" ref="Q145" si="62">P145*N145</f>
        <v>1.4100000000000001</v>
      </c>
      <c r="R145" s="11"/>
    </row>
    <row r="146" spans="1:18" s="30" customFormat="1" ht="30" x14ac:dyDescent="0.25">
      <c r="A146" s="29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 t="shared" si="55"/>
        <v>700</v>
      </c>
      <c r="N146" s="11">
        <v>701</v>
      </c>
      <c r="O146" s="16" t="s">
        <v>474</v>
      </c>
      <c r="P146" s="12">
        <v>4.6589999999999999E-2</v>
      </c>
      <c r="Q146" s="6">
        <f>P146*N146</f>
        <v>32.659590000000001</v>
      </c>
      <c r="R146" s="5"/>
    </row>
    <row r="147" spans="1:18" s="30" customFormat="1" ht="38.25" x14ac:dyDescent="0.25">
      <c r="A147" s="29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 t="shared" si="55"/>
        <v>100</v>
      </c>
      <c r="N147" s="5">
        <v>101</v>
      </c>
      <c r="O147" s="15" t="s">
        <v>651</v>
      </c>
      <c r="P147" s="6">
        <v>7.5151300000000001</v>
      </c>
      <c r="Q147" s="6">
        <f>P147*N147</f>
        <v>759.02813000000003</v>
      </c>
      <c r="R147" s="5"/>
    </row>
    <row r="148" spans="1:18" s="30" customFormat="1" ht="25.5" x14ac:dyDescent="0.25">
      <c r="A148" s="29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5">
        <f t="shared" si="55"/>
        <v>100</v>
      </c>
      <c r="N148" s="11">
        <v>101</v>
      </c>
      <c r="O148" s="16" t="s">
        <v>467</v>
      </c>
      <c r="P148" s="12">
        <v>1.125</v>
      </c>
      <c r="Q148" s="12">
        <f t="shared" ref="Q148" si="63">P148*N148</f>
        <v>113.625</v>
      </c>
      <c r="R148" s="11"/>
    </row>
    <row r="149" spans="1:18" s="30" customFormat="1" x14ac:dyDescent="0.25">
      <c r="A149" s="29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 t="shared" si="55"/>
        <v>100</v>
      </c>
      <c r="N149" s="5">
        <v>101</v>
      </c>
      <c r="O149" s="16" t="s">
        <v>467</v>
      </c>
      <c r="P149" s="6">
        <v>0.28639999999999999</v>
      </c>
      <c r="Q149" s="6">
        <f>P149*N149</f>
        <v>28.926399999999997</v>
      </c>
      <c r="R149" s="5"/>
    </row>
    <row r="150" spans="1:18" s="30" customFormat="1" ht="24" x14ac:dyDescent="0.25">
      <c r="A150" s="29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5">
        <f t="shared" si="55"/>
        <v>200</v>
      </c>
      <c r="N150" s="11">
        <v>201</v>
      </c>
      <c r="O150" s="16" t="s">
        <v>651</v>
      </c>
      <c r="P150" s="12">
        <v>2.5714000000000001</v>
      </c>
      <c r="Q150" s="12">
        <f t="shared" ref="Q150" si="64">P150*N150</f>
        <v>516.85140000000001</v>
      </c>
      <c r="R150" s="11"/>
    </row>
    <row r="151" spans="1:18" s="30" customFormat="1" x14ac:dyDescent="0.25">
      <c r="A151" s="29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 t="shared" si="55"/>
        <v>400</v>
      </c>
      <c r="N151" s="5">
        <v>420</v>
      </c>
      <c r="O151" s="16" t="s">
        <v>467</v>
      </c>
      <c r="P151" s="6">
        <v>2.23E-2</v>
      </c>
      <c r="Q151" s="6">
        <f>P151*N151</f>
        <v>9.3659999999999997</v>
      </c>
      <c r="R151" s="5"/>
    </row>
    <row r="152" spans="1:18" s="30" customFormat="1" x14ac:dyDescent="0.25">
      <c r="A152" s="29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5">
        <f t="shared" si="55"/>
        <v>200</v>
      </c>
      <c r="N152" s="11">
        <v>205</v>
      </c>
      <c r="O152" s="16" t="s">
        <v>467</v>
      </c>
      <c r="P152" s="12">
        <v>0.16719999999999999</v>
      </c>
      <c r="Q152" s="12">
        <f t="shared" ref="Q152" si="65">P152*N152</f>
        <v>34.275999999999996</v>
      </c>
      <c r="R152" s="11"/>
    </row>
    <row r="153" spans="1:18" s="30" customFormat="1" x14ac:dyDescent="0.25">
      <c r="A153" s="29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 t="shared" si="55"/>
        <v>400</v>
      </c>
      <c r="N153" s="5">
        <v>500</v>
      </c>
      <c r="O153" s="16" t="s">
        <v>467</v>
      </c>
      <c r="P153" s="6">
        <v>5.9999999999999995E-4</v>
      </c>
      <c r="Q153" s="6">
        <f>P153*N153</f>
        <v>0.3</v>
      </c>
      <c r="R153" s="5"/>
    </row>
    <row r="154" spans="1:18" s="30" customFormat="1" x14ac:dyDescent="0.25">
      <c r="A154" s="29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5">
        <f t="shared" si="55"/>
        <v>100</v>
      </c>
      <c r="N154" s="5">
        <v>200</v>
      </c>
      <c r="O154" s="16" t="s">
        <v>467</v>
      </c>
      <c r="P154" s="6">
        <v>5.0000000000000001E-4</v>
      </c>
      <c r="Q154" s="12">
        <f t="shared" ref="Q154" si="66">P154*N154</f>
        <v>0.1</v>
      </c>
      <c r="R154" s="11"/>
    </row>
    <row r="155" spans="1:18" s="30" customFormat="1" ht="24" x14ac:dyDescent="0.25">
      <c r="A155" s="29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 t="shared" si="55"/>
        <v>800</v>
      </c>
      <c r="N155" s="11">
        <v>900</v>
      </c>
      <c r="O155" s="16" t="s">
        <v>467</v>
      </c>
      <c r="P155" s="12">
        <v>5.9999999999999995E-4</v>
      </c>
      <c r="Q155" s="6">
        <f>P155*N155</f>
        <v>0.53999999999999992</v>
      </c>
      <c r="R155" s="5"/>
    </row>
    <row r="156" spans="1:18" s="30" customFormat="1" x14ac:dyDescent="0.25">
      <c r="A156" s="29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5">
        <f t="shared" si="55"/>
        <v>100</v>
      </c>
      <c r="N156" s="11">
        <v>200</v>
      </c>
      <c r="O156" s="16" t="s">
        <v>467</v>
      </c>
      <c r="P156" s="12">
        <v>6.9999999999999999E-4</v>
      </c>
      <c r="Q156" s="12">
        <f t="shared" ref="Q156" si="67">P156*N156</f>
        <v>0.13999999999999999</v>
      </c>
      <c r="R156" s="11"/>
    </row>
    <row r="157" spans="1:18" s="30" customFormat="1" x14ac:dyDescent="0.25">
      <c r="A157" s="29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 t="shared" si="55"/>
        <v>100</v>
      </c>
      <c r="N157" s="5">
        <v>200</v>
      </c>
      <c r="O157" s="16" t="s">
        <v>467</v>
      </c>
      <c r="P157" s="6">
        <v>5.9999999999999995E-4</v>
      </c>
      <c r="Q157" s="6">
        <f>P157*N157</f>
        <v>0.12</v>
      </c>
      <c r="R157" s="5"/>
    </row>
    <row r="158" spans="1:18" s="30" customFormat="1" ht="60" x14ac:dyDescent="0.25">
      <c r="A158" s="29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5">
        <f t="shared" si="55"/>
        <v>2400</v>
      </c>
      <c r="N158" s="11">
        <v>2500</v>
      </c>
      <c r="O158" s="16" t="s">
        <v>467</v>
      </c>
      <c r="P158" s="12">
        <v>5.0000000000000001E-4</v>
      </c>
      <c r="Q158" s="12">
        <f t="shared" ref="Q158" si="68">P158*N158</f>
        <v>1.25</v>
      </c>
      <c r="R158" s="11"/>
    </row>
    <row r="159" spans="1:18" s="30" customFormat="1" x14ac:dyDescent="0.25">
      <c r="A159" s="29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 t="shared" si="55"/>
        <v>400</v>
      </c>
      <c r="N159" s="11">
        <v>500</v>
      </c>
      <c r="O159" s="16" t="s">
        <v>467</v>
      </c>
      <c r="P159" s="12">
        <v>6.9999999999999999E-4</v>
      </c>
      <c r="Q159" s="6">
        <f>P159*N159</f>
        <v>0.35</v>
      </c>
      <c r="R159" s="5"/>
    </row>
    <row r="160" spans="1:18" s="30" customFormat="1" x14ac:dyDescent="0.25">
      <c r="A160" s="29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5">
        <f t="shared" si="55"/>
        <v>600</v>
      </c>
      <c r="N160" s="5">
        <v>700</v>
      </c>
      <c r="O160" s="16" t="s">
        <v>467</v>
      </c>
      <c r="P160" s="6">
        <v>6.9999999999999999E-4</v>
      </c>
      <c r="Q160" s="12">
        <f t="shared" ref="Q160" si="69">P160*N160</f>
        <v>0.49</v>
      </c>
      <c r="R160" s="11"/>
    </row>
    <row r="161" spans="1:18" s="30" customFormat="1" ht="25.5" x14ac:dyDescent="0.25">
      <c r="A161" s="29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5">
        <f t="shared" si="55"/>
        <v>100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s="30" customFormat="1" ht="36" x14ac:dyDescent="0.25">
      <c r="A162" s="29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5">
        <f t="shared" si="55"/>
        <v>1200</v>
      </c>
      <c r="N162" s="5">
        <v>1300</v>
      </c>
      <c r="O162" s="16" t="s">
        <v>467</v>
      </c>
      <c r="P162" s="6">
        <v>5.0000000000000001E-4</v>
      </c>
      <c r="Q162" s="12">
        <f t="shared" ref="Q162" si="70">P162*N162</f>
        <v>0.65</v>
      </c>
      <c r="R162" s="11"/>
    </row>
    <row r="163" spans="1:18" s="30" customFormat="1" x14ac:dyDescent="0.25">
      <c r="A163" s="29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 t="shared" si="55"/>
        <v>200</v>
      </c>
      <c r="N163" s="11">
        <v>300</v>
      </c>
      <c r="O163" s="16" t="s">
        <v>467</v>
      </c>
      <c r="P163" s="12">
        <v>1.1999999999999999E-3</v>
      </c>
      <c r="Q163" s="6">
        <f>P163*N163</f>
        <v>0.36</v>
      </c>
      <c r="R163" s="5"/>
    </row>
    <row r="164" spans="1:18" s="30" customFormat="1" x14ac:dyDescent="0.25">
      <c r="A164" s="29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5">
        <f t="shared" si="55"/>
        <v>400</v>
      </c>
      <c r="N164" s="5">
        <v>450</v>
      </c>
      <c r="O164" s="16" t="s">
        <v>467</v>
      </c>
      <c r="P164" s="6">
        <v>2.0199999999999999E-2</v>
      </c>
      <c r="Q164" s="12">
        <f t="shared" ref="Q164" si="71">P164*N164</f>
        <v>9.09</v>
      </c>
      <c r="R164" s="11"/>
    </row>
    <row r="165" spans="1:18" s="30" customFormat="1" x14ac:dyDescent="0.25">
      <c r="A165" s="29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 t="shared" si="55"/>
        <v>100</v>
      </c>
      <c r="N165" s="11">
        <v>120</v>
      </c>
      <c r="O165" s="16" t="s">
        <v>467</v>
      </c>
      <c r="P165" s="12">
        <v>2.0899999999999998E-2</v>
      </c>
      <c r="Q165" s="6">
        <f>P165*N165</f>
        <v>2.508</v>
      </c>
      <c r="R165" s="5"/>
    </row>
    <row r="166" spans="1:18" s="30" customFormat="1" x14ac:dyDescent="0.25">
      <c r="A166" s="29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5">
        <f t="shared" si="55"/>
        <v>200</v>
      </c>
      <c r="N166" s="5">
        <v>210</v>
      </c>
      <c r="O166" s="16" t="s">
        <v>467</v>
      </c>
      <c r="P166" s="6">
        <v>6.4500000000000002E-2</v>
      </c>
      <c r="Q166" s="12">
        <f t="shared" ref="Q166" si="72">P166*N166</f>
        <v>13.545</v>
      </c>
      <c r="R166" s="11"/>
    </row>
    <row r="167" spans="1:18" s="30" customFormat="1" ht="36" x14ac:dyDescent="0.25">
      <c r="A167" s="29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28">
        <f t="shared" si="55"/>
        <v>100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s="30" customFormat="1" ht="25.5" x14ac:dyDescent="0.25">
      <c r="A168" s="29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28">
        <f t="shared" si="55"/>
        <v>100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s="30" customFormat="1" ht="36" x14ac:dyDescent="0.25">
      <c r="A169" s="29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 t="shared" si="55"/>
        <v>100</v>
      </c>
      <c r="N169" s="5">
        <v>200</v>
      </c>
      <c r="O169" s="16" t="s">
        <v>467</v>
      </c>
      <c r="P169" s="6">
        <v>1E-3</v>
      </c>
      <c r="Q169" s="6">
        <f>P169*N169</f>
        <v>0.2</v>
      </c>
      <c r="R169" s="5"/>
    </row>
    <row r="170" spans="1:18" s="30" customFormat="1" x14ac:dyDescent="0.25">
      <c r="A170" s="29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5">
        <f t="shared" si="55"/>
        <v>100</v>
      </c>
      <c r="N170" s="11">
        <v>200</v>
      </c>
      <c r="O170" s="16" t="s">
        <v>467</v>
      </c>
      <c r="P170" s="12">
        <v>1.1999999999999999E-3</v>
      </c>
      <c r="Q170" s="12">
        <f t="shared" ref="Q170" si="73">P170*N170</f>
        <v>0.24</v>
      </c>
      <c r="R170" s="11"/>
    </row>
    <row r="171" spans="1:18" s="30" customFormat="1" x14ac:dyDescent="0.25">
      <c r="A171" s="29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 t="shared" si="55"/>
        <v>500</v>
      </c>
      <c r="N171" s="11">
        <v>200</v>
      </c>
      <c r="O171" s="16" t="s">
        <v>467</v>
      </c>
      <c r="P171" s="12">
        <v>1.1999999999999999E-3</v>
      </c>
      <c r="Q171" s="6">
        <f>P171*N171</f>
        <v>0.24</v>
      </c>
      <c r="R171" s="5"/>
    </row>
    <row r="172" spans="1:18" s="30" customFormat="1" x14ac:dyDescent="0.25">
      <c r="A172" s="29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5">
        <f t="shared" si="55"/>
        <v>100</v>
      </c>
      <c r="N172" s="5">
        <v>200</v>
      </c>
      <c r="O172" s="16" t="s">
        <v>467</v>
      </c>
      <c r="P172" s="6">
        <v>2E-3</v>
      </c>
      <c r="Q172" s="12">
        <f t="shared" ref="Q172" si="74">P172*N172</f>
        <v>0.4</v>
      </c>
      <c r="R172" s="11"/>
    </row>
    <row r="173" spans="1:18" s="30" customFormat="1" x14ac:dyDescent="0.25">
      <c r="A173" s="29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 t="shared" si="55"/>
        <v>100</v>
      </c>
      <c r="N173" s="11">
        <v>120</v>
      </c>
      <c r="O173" s="16" t="s">
        <v>467</v>
      </c>
      <c r="P173" s="12">
        <v>2.4199999999999999E-2</v>
      </c>
      <c r="Q173" s="6">
        <f>P173*N173</f>
        <v>2.9039999999999999</v>
      </c>
      <c r="R173" s="5"/>
    </row>
    <row r="174" spans="1:18" s="30" customFormat="1" x14ac:dyDescent="0.25">
      <c r="A174" s="29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5">
        <f t="shared" si="55"/>
        <v>100</v>
      </c>
      <c r="N174" s="5">
        <v>105</v>
      </c>
      <c r="O174" s="16" t="s">
        <v>467</v>
      </c>
      <c r="P174" s="6">
        <v>0.2301</v>
      </c>
      <c r="Q174" s="12">
        <f t="shared" ref="Q174" si="75">P174*N174</f>
        <v>24.160499999999999</v>
      </c>
      <c r="R174" s="11"/>
    </row>
    <row r="175" spans="1:18" s="30" customFormat="1" x14ac:dyDescent="0.25">
      <c r="A175" s="29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 t="shared" si="55"/>
        <v>100</v>
      </c>
      <c r="N175" s="11">
        <v>200</v>
      </c>
      <c r="O175" s="16" t="s">
        <v>467</v>
      </c>
      <c r="P175" s="12">
        <v>1E-3</v>
      </c>
      <c r="Q175" s="6">
        <f>P175*N175</f>
        <v>0.2</v>
      </c>
      <c r="R175" s="5"/>
    </row>
    <row r="176" spans="1:18" s="30" customFormat="1" x14ac:dyDescent="0.25">
      <c r="A176" s="29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5">
        <f t="shared" si="55"/>
        <v>100</v>
      </c>
      <c r="N176" s="11">
        <v>200</v>
      </c>
      <c r="O176" s="16" t="s">
        <v>467</v>
      </c>
      <c r="P176" s="12">
        <v>5.9999999999999995E-4</v>
      </c>
      <c r="Q176" s="12">
        <f t="shared" ref="Q176" si="76">P176*N176</f>
        <v>0.12</v>
      </c>
      <c r="R176" s="11"/>
    </row>
    <row r="177" spans="1:18" s="30" customFormat="1" x14ac:dyDescent="0.25">
      <c r="A177" s="29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 t="shared" si="55"/>
        <v>100</v>
      </c>
      <c r="N177" s="5">
        <v>101</v>
      </c>
      <c r="O177" s="15" t="s">
        <v>651</v>
      </c>
      <c r="P177" s="6">
        <v>6.0213999999999999</v>
      </c>
      <c r="Q177" s="6">
        <f>P177*N177</f>
        <v>608.16139999999996</v>
      </c>
      <c r="R177" s="5"/>
    </row>
    <row r="178" spans="1:18" s="30" customFormat="1" x14ac:dyDescent="0.25">
      <c r="A178" s="29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5">
        <f t="shared" si="55"/>
        <v>100</v>
      </c>
      <c r="N178" s="5">
        <v>101</v>
      </c>
      <c r="O178" s="16" t="s">
        <v>467</v>
      </c>
      <c r="P178" s="6">
        <v>2.0360999999999998</v>
      </c>
      <c r="Q178" s="12">
        <f t="shared" ref="Q178" si="77">P178*N178</f>
        <v>205.64609999999999</v>
      </c>
      <c r="R178" s="11"/>
    </row>
    <row r="179" spans="1:18" s="30" customFormat="1" x14ac:dyDescent="0.25">
      <c r="A179" s="29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 t="shared" si="55"/>
        <v>100</v>
      </c>
      <c r="N179" s="5">
        <v>101</v>
      </c>
      <c r="O179" s="15" t="s">
        <v>787</v>
      </c>
      <c r="P179" s="6">
        <v>5.1680999999999999</v>
      </c>
      <c r="Q179" s="6">
        <f>P179*N179</f>
        <v>521.97810000000004</v>
      </c>
      <c r="R179" s="5"/>
    </row>
    <row r="180" spans="1:18" s="30" customFormat="1" x14ac:dyDescent="0.25">
      <c r="A180" s="29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5">
        <f t="shared" si="55"/>
        <v>100</v>
      </c>
      <c r="N180" s="5">
        <v>101</v>
      </c>
      <c r="O180" s="16" t="s">
        <v>467</v>
      </c>
      <c r="P180" s="6">
        <v>2.0926999999999998</v>
      </c>
      <c r="Q180" s="12">
        <f t="shared" ref="Q180" si="78">P180*N180</f>
        <v>211.36269999999999</v>
      </c>
      <c r="R180" s="11"/>
    </row>
    <row r="181" spans="1:18" s="30" customFormat="1" ht="15.75" thickBot="1" x14ac:dyDescent="0.3">
      <c r="A181" s="29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 t="shared" si="55"/>
        <v>100</v>
      </c>
      <c r="N181" s="5">
        <v>105</v>
      </c>
      <c r="O181" s="16" t="s">
        <v>467</v>
      </c>
      <c r="P181" s="6">
        <v>0.2107</v>
      </c>
      <c r="Q181" s="6">
        <f>P181*N181</f>
        <v>22.1235</v>
      </c>
      <c r="R181" s="5"/>
    </row>
    <row r="182" spans="1:18" ht="19.5" thickBo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5" t="s">
        <v>1</v>
      </c>
      <c r="O182" s="26"/>
      <c r="P182" s="26"/>
      <c r="Q182" s="9">
        <f>SUM(Q131:Q181)</f>
        <v>3307.7545200000004</v>
      </c>
      <c r="R182" s="1"/>
    </row>
    <row r="183" spans="1:18" ht="19.5" thickBo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5" t="s">
        <v>2</v>
      </c>
      <c r="O183" s="26"/>
      <c r="P183" s="26"/>
      <c r="Q183" s="10">
        <f>Q182/100</f>
        <v>33.077545200000003</v>
      </c>
      <c r="R183" s="1"/>
    </row>
    <row r="184" spans="1:18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26.25" x14ac:dyDescent="0.25">
      <c r="A185" s="1"/>
      <c r="B185" s="2"/>
      <c r="C185" s="2"/>
      <c r="D185" s="22"/>
      <c r="E185" s="22"/>
      <c r="F185" s="22"/>
      <c r="G185" s="27" t="s">
        <v>794</v>
      </c>
      <c r="H185" s="27"/>
      <c r="I185" s="27"/>
      <c r="J185" s="22"/>
      <c r="K185" s="23"/>
      <c r="L185" s="23"/>
      <c r="M185" s="23"/>
      <c r="N185" s="23"/>
      <c r="O185" s="23"/>
      <c r="P185" s="23"/>
      <c r="Q185" s="23"/>
      <c r="R185" s="23"/>
    </row>
    <row r="186" spans="1:18" ht="15.75" thickBot="1" x14ac:dyDescent="0.3">
      <c r="A186" s="1"/>
      <c r="B186" s="2"/>
      <c r="C186" s="2"/>
      <c r="D186" s="22"/>
      <c r="E186" s="22"/>
      <c r="F186" s="22"/>
      <c r="G186" s="22"/>
      <c r="H186" s="22"/>
      <c r="I186" s="22"/>
      <c r="J186" s="22"/>
      <c r="K186" s="23"/>
      <c r="L186" s="23"/>
      <c r="M186" s="23"/>
      <c r="N186" s="23"/>
      <c r="O186" s="23"/>
      <c r="P186" s="23"/>
      <c r="Q186" s="23"/>
      <c r="R186" s="23"/>
    </row>
    <row r="187" spans="1:18" ht="15.75" thickBot="1" x14ac:dyDescent="0.3">
      <c r="A187" s="1"/>
      <c r="B187" s="4" t="s">
        <v>0</v>
      </c>
      <c r="C187" s="4" t="s">
        <v>3</v>
      </c>
      <c r="D187" s="4" t="s">
        <v>16</v>
      </c>
      <c r="E187" s="4" t="s">
        <v>106</v>
      </c>
      <c r="F187" s="4" t="s">
        <v>190</v>
      </c>
      <c r="G187" s="4" t="s">
        <v>220</v>
      </c>
      <c r="H187" s="4" t="s">
        <v>298</v>
      </c>
      <c r="I187" s="4" t="s">
        <v>459</v>
      </c>
      <c r="J187" s="4" t="s">
        <v>327</v>
      </c>
      <c r="K187" s="4" t="s">
        <v>460</v>
      </c>
      <c r="L187" s="4" t="s">
        <v>458</v>
      </c>
      <c r="M187" s="4" t="s">
        <v>950</v>
      </c>
      <c r="N187" s="4" t="s">
        <v>951</v>
      </c>
      <c r="O187" s="4" t="s">
        <v>463</v>
      </c>
      <c r="P187" s="4" t="s">
        <v>952</v>
      </c>
      <c r="Q187" s="4" t="s">
        <v>953</v>
      </c>
      <c r="R187" s="4" t="s">
        <v>466</v>
      </c>
    </row>
    <row r="188" spans="1:18" s="30" customFormat="1" ht="36" x14ac:dyDescent="0.25">
      <c r="A188" s="29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L188*100</f>
        <v>1200</v>
      </c>
      <c r="N188" s="5">
        <v>1300</v>
      </c>
      <c r="O188" s="16" t="s">
        <v>467</v>
      </c>
      <c r="P188" s="6">
        <v>8.0000000000000004E-4</v>
      </c>
      <c r="Q188" s="6">
        <f>P188*N188</f>
        <v>1.04</v>
      </c>
      <c r="R188" s="5"/>
    </row>
    <row r="189" spans="1:18" s="30" customFormat="1" x14ac:dyDescent="0.25">
      <c r="A189" s="29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5">
        <f t="shared" ref="M189:M201" si="79">L189*100</f>
        <v>400</v>
      </c>
      <c r="N189" s="5">
        <v>420</v>
      </c>
      <c r="O189" s="15" t="s">
        <v>467</v>
      </c>
      <c r="P189" s="6">
        <v>2.2200000000000001E-2</v>
      </c>
      <c r="Q189" s="12">
        <f t="shared" ref="Q189" si="80">P189*N189</f>
        <v>9.3239999999999998</v>
      </c>
      <c r="R189" s="11"/>
    </row>
    <row r="190" spans="1:18" s="30" customFormat="1" x14ac:dyDescent="0.25">
      <c r="A190" s="29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 t="shared" si="79"/>
        <v>400</v>
      </c>
      <c r="N190" s="5">
        <v>500</v>
      </c>
      <c r="O190" s="16" t="s">
        <v>467</v>
      </c>
      <c r="P190" s="6">
        <v>1E-3</v>
      </c>
      <c r="Q190" s="6">
        <f>P190*N190</f>
        <v>0.5</v>
      </c>
      <c r="R190" s="5"/>
    </row>
    <row r="191" spans="1:18" s="30" customFormat="1" ht="24" x14ac:dyDescent="0.25">
      <c r="A191" s="29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5">
        <f t="shared" si="79"/>
        <v>200</v>
      </c>
      <c r="N191" s="11">
        <v>250</v>
      </c>
      <c r="O191" s="16" t="s">
        <v>467</v>
      </c>
      <c r="P191" s="12">
        <v>8.9999999999999993E-3</v>
      </c>
      <c r="Q191" s="12">
        <f t="shared" ref="Q191" si="81">P191*N191</f>
        <v>2.25</v>
      </c>
      <c r="R191" s="11"/>
    </row>
    <row r="192" spans="1:18" s="30" customFormat="1" ht="24" x14ac:dyDescent="0.25">
      <c r="A192" s="29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 t="shared" si="79"/>
        <v>200</v>
      </c>
      <c r="N192" s="11">
        <v>201</v>
      </c>
      <c r="O192" s="16" t="s">
        <v>467</v>
      </c>
      <c r="P192" s="12">
        <v>0.33510000000000001</v>
      </c>
      <c r="Q192" s="6">
        <f>P192*N192</f>
        <v>67.355100000000007</v>
      </c>
      <c r="R192" s="5"/>
    </row>
    <row r="193" spans="1:18" s="30" customFormat="1" x14ac:dyDescent="0.25">
      <c r="A193" s="29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5">
        <f t="shared" si="79"/>
        <v>100</v>
      </c>
      <c r="N193" s="11">
        <v>101</v>
      </c>
      <c r="O193" s="16" t="s">
        <v>467</v>
      </c>
      <c r="P193" s="12">
        <v>0.24829999999999999</v>
      </c>
      <c r="Q193" s="12">
        <f t="shared" ref="Q193" si="82">P193*N193</f>
        <v>25.078299999999999</v>
      </c>
      <c r="R193" s="11"/>
    </row>
    <row r="194" spans="1:18" s="30" customFormat="1" x14ac:dyDescent="0.25">
      <c r="A194" s="29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 t="shared" si="79"/>
        <v>100</v>
      </c>
      <c r="N194" s="5">
        <v>105</v>
      </c>
      <c r="O194" s="16" t="s">
        <v>467</v>
      </c>
      <c r="P194" s="6">
        <v>0.19139999999999999</v>
      </c>
      <c r="Q194" s="6">
        <f>P194*N194</f>
        <v>20.096999999999998</v>
      </c>
      <c r="R194" s="5"/>
    </row>
    <row r="195" spans="1:18" s="30" customFormat="1" x14ac:dyDescent="0.25">
      <c r="A195" s="29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5">
        <f t="shared" si="79"/>
        <v>200</v>
      </c>
      <c r="N195" s="5">
        <v>220</v>
      </c>
      <c r="O195" s="16" t="s">
        <v>467</v>
      </c>
      <c r="P195" s="6">
        <v>1.7500000000000002E-2</v>
      </c>
      <c r="Q195" s="12">
        <f t="shared" ref="Q195" si="83">P195*N195</f>
        <v>3.8500000000000005</v>
      </c>
      <c r="R195" s="11"/>
    </row>
    <row r="196" spans="1:18" s="30" customFormat="1" x14ac:dyDescent="0.25">
      <c r="A196" s="29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 t="shared" si="79"/>
        <v>200</v>
      </c>
      <c r="N196" s="11">
        <v>300</v>
      </c>
      <c r="O196" s="16" t="s">
        <v>467</v>
      </c>
      <c r="P196" s="12">
        <v>5.9999999999999995E-4</v>
      </c>
      <c r="Q196" s="6">
        <f>P196*N196</f>
        <v>0.18</v>
      </c>
      <c r="R196" s="5"/>
    </row>
    <row r="197" spans="1:18" s="30" customFormat="1" x14ac:dyDescent="0.25">
      <c r="A197" s="29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5">
        <f t="shared" si="79"/>
        <v>100</v>
      </c>
      <c r="N197" s="11">
        <v>200</v>
      </c>
      <c r="O197" s="16" t="s">
        <v>467</v>
      </c>
      <c r="P197" s="12">
        <v>5.9999999999999995E-4</v>
      </c>
      <c r="Q197" s="12">
        <f t="shared" ref="Q197" si="84">P197*N197</f>
        <v>0.12</v>
      </c>
      <c r="R197" s="11"/>
    </row>
    <row r="198" spans="1:18" s="30" customFormat="1" x14ac:dyDescent="0.25">
      <c r="A198" s="29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 t="shared" si="79"/>
        <v>400</v>
      </c>
      <c r="N198" s="5">
        <v>500</v>
      </c>
      <c r="O198" s="16" t="s">
        <v>467</v>
      </c>
      <c r="P198" s="6">
        <v>5.9999999999999995E-4</v>
      </c>
      <c r="Q198" s="6">
        <f>P198*N198</f>
        <v>0.3</v>
      </c>
      <c r="R198" s="5"/>
    </row>
    <row r="199" spans="1:18" s="30" customFormat="1" ht="24" x14ac:dyDescent="0.25">
      <c r="A199" s="29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5">
        <f t="shared" si="79"/>
        <v>100</v>
      </c>
      <c r="N199" s="5">
        <v>101</v>
      </c>
      <c r="O199" s="16" t="s">
        <v>467</v>
      </c>
      <c r="P199" s="6">
        <v>7.8120000000000003</v>
      </c>
      <c r="Q199" s="12">
        <f t="shared" ref="Q199" si="85">P199*N199</f>
        <v>789.01200000000006</v>
      </c>
      <c r="R199" s="11"/>
    </row>
    <row r="200" spans="1:18" s="30" customFormat="1" ht="24" x14ac:dyDescent="0.25">
      <c r="A200" s="29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 t="shared" si="79"/>
        <v>200</v>
      </c>
      <c r="N200" s="5">
        <v>205</v>
      </c>
      <c r="O200" s="16" t="s">
        <v>467</v>
      </c>
      <c r="P200" s="6">
        <v>6.5100000000000005E-2</v>
      </c>
      <c r="Q200" s="6">
        <f>P200*N200</f>
        <v>13.345500000000001</v>
      </c>
      <c r="R200" s="5"/>
    </row>
    <row r="201" spans="1:18" s="30" customFormat="1" ht="30.75" thickBot="1" x14ac:dyDescent="0.3">
      <c r="A201" s="29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5">
        <f t="shared" si="79"/>
        <v>200</v>
      </c>
      <c r="N201" s="5">
        <v>200</v>
      </c>
      <c r="O201" s="16" t="s">
        <v>941</v>
      </c>
      <c r="P201" s="6">
        <v>30</v>
      </c>
      <c r="Q201" s="12">
        <f t="shared" ref="Q201" si="86">P201*N201</f>
        <v>6000</v>
      </c>
      <c r="R201" s="24"/>
    </row>
    <row r="202" spans="1:18" ht="19.5" thickBo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5" t="s">
        <v>1</v>
      </c>
      <c r="O202" s="26"/>
      <c r="P202" s="26"/>
      <c r="Q202" s="9">
        <f>SUM(Q188:Q201)</f>
        <v>6932.4519</v>
      </c>
      <c r="R202" s="1"/>
    </row>
    <row r="203" spans="1:18" ht="19.5" thickBo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5" t="s">
        <v>2</v>
      </c>
      <c r="O203" s="26"/>
      <c r="P203" s="26"/>
      <c r="Q203" s="10">
        <f>Q202/100</f>
        <v>69.324518999999995</v>
      </c>
      <c r="R203" s="1"/>
    </row>
    <row r="204" spans="1:18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26.25" x14ac:dyDescent="0.25">
      <c r="A205" s="1"/>
      <c r="B205" s="2"/>
      <c r="C205" s="2"/>
      <c r="D205" s="22"/>
      <c r="E205" s="22"/>
      <c r="F205" s="22"/>
      <c r="G205" s="27" t="s">
        <v>852</v>
      </c>
      <c r="H205" s="27"/>
      <c r="I205" s="27"/>
      <c r="J205" s="22"/>
      <c r="K205" s="23"/>
      <c r="L205" s="23"/>
      <c r="M205" s="23"/>
      <c r="N205" s="23"/>
      <c r="O205" s="23"/>
      <c r="P205" s="23"/>
      <c r="Q205" s="23"/>
      <c r="R205" s="23"/>
    </row>
    <row r="206" spans="1:18" ht="15.75" thickBot="1" x14ac:dyDescent="0.3">
      <c r="A206" s="1"/>
      <c r="B206" s="2"/>
      <c r="C206" s="2"/>
      <c r="D206" s="22"/>
      <c r="E206" s="22"/>
      <c r="F206" s="22"/>
      <c r="G206" s="22"/>
      <c r="H206" s="22"/>
      <c r="I206" s="22"/>
      <c r="J206" s="22"/>
      <c r="K206" s="23"/>
      <c r="L206" s="23"/>
      <c r="M206" s="23"/>
      <c r="N206" s="23"/>
      <c r="O206" s="23"/>
      <c r="P206" s="23"/>
      <c r="Q206" s="23"/>
      <c r="R206" s="23"/>
    </row>
    <row r="207" spans="1:18" ht="15.75" thickBot="1" x14ac:dyDescent="0.3">
      <c r="A207" s="1"/>
      <c r="B207" s="4" t="s">
        <v>0</v>
      </c>
      <c r="C207" s="4" t="s">
        <v>3</v>
      </c>
      <c r="D207" s="4" t="s">
        <v>16</v>
      </c>
      <c r="E207" s="4" t="s">
        <v>106</v>
      </c>
      <c r="F207" s="4" t="s">
        <v>190</v>
      </c>
      <c r="G207" s="4" t="s">
        <v>220</v>
      </c>
      <c r="H207" s="4" t="s">
        <v>298</v>
      </c>
      <c r="I207" s="4" t="s">
        <v>459</v>
      </c>
      <c r="J207" s="4" t="s">
        <v>327</v>
      </c>
      <c r="K207" s="4" t="s">
        <v>460</v>
      </c>
      <c r="L207" s="4" t="s">
        <v>458</v>
      </c>
      <c r="M207" s="4" t="s">
        <v>950</v>
      </c>
      <c r="N207" s="4" t="s">
        <v>951</v>
      </c>
      <c r="O207" s="4" t="s">
        <v>463</v>
      </c>
      <c r="P207" s="4" t="s">
        <v>952</v>
      </c>
      <c r="Q207" s="4" t="s">
        <v>953</v>
      </c>
      <c r="R207" s="4" t="s">
        <v>466</v>
      </c>
    </row>
    <row r="208" spans="1:18" s="30" customFormat="1" x14ac:dyDescent="0.25">
      <c r="A208" s="29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L208*100</f>
        <v>300</v>
      </c>
      <c r="N208" s="5">
        <v>300</v>
      </c>
      <c r="O208" s="16" t="s">
        <v>467</v>
      </c>
      <c r="P208" s="6">
        <v>2.5999999999999999E-3</v>
      </c>
      <c r="Q208" s="6">
        <f>P208*N208</f>
        <v>0.77999999999999992</v>
      </c>
      <c r="R208" s="5"/>
    </row>
    <row r="209" spans="1:18" s="30" customFormat="1" x14ac:dyDescent="0.25">
      <c r="A209" s="29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5">
        <f t="shared" ref="M209:M217" si="87">L209*100</f>
        <v>400</v>
      </c>
      <c r="N209" s="5">
        <v>500</v>
      </c>
      <c r="O209" s="16" t="s">
        <v>467</v>
      </c>
      <c r="P209" s="6">
        <v>1.1000000000000001E-3</v>
      </c>
      <c r="Q209" s="12">
        <f t="shared" ref="Q209" si="88">P209*N209</f>
        <v>0.55000000000000004</v>
      </c>
      <c r="R209" s="11"/>
    </row>
    <row r="210" spans="1:18" s="30" customFormat="1" x14ac:dyDescent="0.25">
      <c r="A210" s="29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 t="shared" si="87"/>
        <v>100</v>
      </c>
      <c r="N210" s="11">
        <v>120</v>
      </c>
      <c r="O210" s="16" t="s">
        <v>467</v>
      </c>
      <c r="P210" s="12">
        <v>2.81E-2</v>
      </c>
      <c r="Q210" s="6">
        <f>P210*N210</f>
        <v>3.3719999999999999</v>
      </c>
      <c r="R210" s="5"/>
    </row>
    <row r="211" spans="1:18" s="30" customFormat="1" ht="25.5" x14ac:dyDescent="0.25">
      <c r="A211" s="29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5">
        <f t="shared" si="87"/>
        <v>100</v>
      </c>
      <c r="N211" s="5">
        <v>105</v>
      </c>
      <c r="O211" s="16" t="s">
        <v>467</v>
      </c>
      <c r="P211" s="6">
        <v>0.24349999999999999</v>
      </c>
      <c r="Q211" s="12">
        <f t="shared" ref="Q211" si="89">P211*N211</f>
        <v>25.567499999999999</v>
      </c>
      <c r="R211" s="11"/>
    </row>
    <row r="212" spans="1:18" s="30" customFormat="1" x14ac:dyDescent="0.25">
      <c r="A212" s="29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 t="shared" si="87"/>
        <v>200</v>
      </c>
      <c r="N212" s="11">
        <v>300</v>
      </c>
      <c r="O212" s="16" t="s">
        <v>467</v>
      </c>
      <c r="P212" s="12">
        <v>5.9999999999999995E-4</v>
      </c>
      <c r="Q212" s="6">
        <f>P212*N212</f>
        <v>0.18</v>
      </c>
      <c r="R212" s="5"/>
    </row>
    <row r="213" spans="1:18" s="30" customFormat="1" x14ac:dyDescent="0.25">
      <c r="A213" s="29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5">
        <f t="shared" si="87"/>
        <v>100</v>
      </c>
      <c r="N213" s="5">
        <v>200</v>
      </c>
      <c r="O213" s="16" t="s">
        <v>467</v>
      </c>
      <c r="P213" s="6">
        <v>5.9999999999999995E-4</v>
      </c>
      <c r="Q213" s="12">
        <f t="shared" ref="Q213" si="90">P213*N213</f>
        <v>0.12</v>
      </c>
      <c r="R213" s="11"/>
    </row>
    <row r="214" spans="1:18" s="30" customFormat="1" x14ac:dyDescent="0.25">
      <c r="A214" s="29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 t="shared" si="87"/>
        <v>100</v>
      </c>
      <c r="N214" s="5">
        <v>200</v>
      </c>
      <c r="O214" s="16" t="s">
        <v>467</v>
      </c>
      <c r="P214" s="6">
        <v>5.0000000000000001E-4</v>
      </c>
      <c r="Q214" s="6">
        <f>P214*N214</f>
        <v>0.1</v>
      </c>
      <c r="R214" s="5"/>
    </row>
    <row r="215" spans="1:18" s="30" customFormat="1" x14ac:dyDescent="0.25">
      <c r="A215" s="29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5">
        <f t="shared" si="87"/>
        <v>100</v>
      </c>
      <c r="N215" s="5">
        <v>200</v>
      </c>
      <c r="O215" s="16" t="s">
        <v>467</v>
      </c>
      <c r="P215" s="6">
        <v>5.9999999999999995E-4</v>
      </c>
      <c r="Q215" s="12">
        <f t="shared" ref="Q215" si="91">P215*N215</f>
        <v>0.12</v>
      </c>
      <c r="R215" s="11"/>
    </row>
    <row r="216" spans="1:18" s="30" customFormat="1" ht="24" x14ac:dyDescent="0.25">
      <c r="A216" s="29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 t="shared" si="87"/>
        <v>100</v>
      </c>
      <c r="N216" s="5">
        <v>101</v>
      </c>
      <c r="O216" s="16" t="s">
        <v>467</v>
      </c>
      <c r="P216" s="6">
        <v>7.8120000000000003</v>
      </c>
      <c r="Q216" s="6">
        <f>P216*N216</f>
        <v>789.01200000000006</v>
      </c>
      <c r="R216" s="5"/>
    </row>
    <row r="217" spans="1:18" s="30" customFormat="1" ht="24.75" thickBot="1" x14ac:dyDescent="0.3">
      <c r="A217" s="29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5">
        <f t="shared" si="87"/>
        <v>100</v>
      </c>
      <c r="N217" s="11">
        <v>105</v>
      </c>
      <c r="O217" s="16" t="s">
        <v>467</v>
      </c>
      <c r="P217" s="12">
        <v>8.0100000000000005E-2</v>
      </c>
      <c r="Q217" s="12">
        <f t="shared" ref="Q217" si="92">P217*N217</f>
        <v>8.4105000000000008</v>
      </c>
      <c r="R217" s="11"/>
    </row>
    <row r="218" spans="1:18" ht="19.5" thickBo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5" t="s">
        <v>1</v>
      </c>
      <c r="O218" s="26"/>
      <c r="P218" s="26"/>
      <c r="Q218" s="9">
        <f>SUM(Q208:Q217)</f>
        <v>828.21199999999999</v>
      </c>
      <c r="R218" s="1"/>
    </row>
    <row r="219" spans="1:18" ht="19.5" thickBo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5" t="s">
        <v>2</v>
      </c>
      <c r="O219" s="26"/>
      <c r="P219" s="26"/>
      <c r="Q219" s="10">
        <f>Q218/100</f>
        <v>8.282119999999999</v>
      </c>
      <c r="R219" s="1"/>
    </row>
    <row r="220" spans="1:18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26.25" x14ac:dyDescent="0.25">
      <c r="A221" s="1"/>
      <c r="B221" s="2"/>
      <c r="C221" s="2"/>
      <c r="D221" s="22"/>
      <c r="E221" s="22"/>
      <c r="F221" s="22"/>
      <c r="G221" s="27" t="s">
        <v>918</v>
      </c>
      <c r="H221" s="27"/>
      <c r="I221" s="27"/>
      <c r="J221" s="22"/>
      <c r="K221" s="23"/>
      <c r="L221" s="23"/>
      <c r="M221" s="23"/>
      <c r="N221" s="23"/>
      <c r="O221" s="23"/>
      <c r="P221" s="23"/>
      <c r="Q221" s="23"/>
      <c r="R221" s="23"/>
    </row>
    <row r="222" spans="1:18" ht="15.75" thickBot="1" x14ac:dyDescent="0.3">
      <c r="A222" s="1"/>
      <c r="B222" s="2"/>
      <c r="C222" s="2"/>
      <c r="D222" s="22"/>
      <c r="E222" s="22"/>
      <c r="F222" s="22"/>
      <c r="G222" s="22"/>
      <c r="H222" s="22"/>
      <c r="I222" s="22"/>
      <c r="J222" s="22"/>
      <c r="K222" s="23"/>
      <c r="L222" s="23"/>
      <c r="M222" s="23"/>
      <c r="N222" s="23"/>
      <c r="O222" s="23"/>
      <c r="P222" s="23"/>
      <c r="Q222" s="23"/>
      <c r="R222" s="23"/>
    </row>
    <row r="223" spans="1:18" ht="15.75" thickBot="1" x14ac:dyDescent="0.3">
      <c r="A223" s="1"/>
      <c r="B223" s="4" t="s">
        <v>0</v>
      </c>
      <c r="C223" s="4" t="s">
        <v>3</v>
      </c>
      <c r="D223" s="4" t="s">
        <v>16</v>
      </c>
      <c r="E223" s="4" t="s">
        <v>106</v>
      </c>
      <c r="F223" s="4" t="s">
        <v>190</v>
      </c>
      <c r="G223" s="4" t="s">
        <v>220</v>
      </c>
      <c r="H223" s="4" t="s">
        <v>298</v>
      </c>
      <c r="I223" s="4" t="s">
        <v>459</v>
      </c>
      <c r="J223" s="4" t="s">
        <v>327</v>
      </c>
      <c r="K223" s="4" t="s">
        <v>460</v>
      </c>
      <c r="L223" s="4" t="s">
        <v>458</v>
      </c>
      <c r="M223" s="4" t="s">
        <v>950</v>
      </c>
      <c r="N223" s="4" t="s">
        <v>951</v>
      </c>
      <c r="O223" s="4" t="s">
        <v>463</v>
      </c>
      <c r="P223" s="4" t="s">
        <v>952</v>
      </c>
      <c r="Q223" s="4" t="s">
        <v>953</v>
      </c>
      <c r="R223" s="4" t="s">
        <v>466</v>
      </c>
    </row>
    <row r="224" spans="1:18" s="30" customFormat="1" x14ac:dyDescent="0.25">
      <c r="A224" s="29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L224*100</f>
        <v>100</v>
      </c>
      <c r="N224" s="11">
        <v>150</v>
      </c>
      <c r="O224" s="16" t="s">
        <v>467</v>
      </c>
      <c r="P224" s="12">
        <v>1.2800000000000001E-2</v>
      </c>
      <c r="Q224" s="6">
        <f>P224*N224</f>
        <v>1.9200000000000002</v>
      </c>
      <c r="R224" s="5"/>
    </row>
    <row r="225" spans="1:18" s="30" customFormat="1" x14ac:dyDescent="0.25">
      <c r="A225" s="29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5">
        <f t="shared" ref="M225:M247" si="93">L225*100</f>
        <v>400</v>
      </c>
      <c r="N225" s="5">
        <v>500</v>
      </c>
      <c r="O225" s="16" t="s">
        <v>467</v>
      </c>
      <c r="P225" s="6">
        <v>1.1000000000000001E-3</v>
      </c>
      <c r="Q225" s="12">
        <f t="shared" ref="Q225" si="94">P225*N225</f>
        <v>0.55000000000000004</v>
      </c>
      <c r="R225" s="11"/>
    </row>
    <row r="226" spans="1:18" s="30" customFormat="1" x14ac:dyDescent="0.25">
      <c r="A226" s="29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 t="shared" si="93"/>
        <v>100</v>
      </c>
      <c r="N226" s="5">
        <v>200</v>
      </c>
      <c r="O226" s="16" t="s">
        <v>467</v>
      </c>
      <c r="P226" s="6">
        <v>2.5999999999999999E-3</v>
      </c>
      <c r="Q226" s="6">
        <f>P226*N226</f>
        <v>0.52</v>
      </c>
      <c r="R226" s="5"/>
    </row>
    <row r="227" spans="1:18" s="30" customFormat="1" x14ac:dyDescent="0.25">
      <c r="A227" s="29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5">
        <f t="shared" si="93"/>
        <v>200</v>
      </c>
      <c r="N227" s="5">
        <v>205</v>
      </c>
      <c r="O227" s="16" t="s">
        <v>467</v>
      </c>
      <c r="P227" s="6">
        <v>0.19980000000000001</v>
      </c>
      <c r="Q227" s="12">
        <f t="shared" ref="Q227" si="95">P227*N227</f>
        <v>40.959000000000003</v>
      </c>
      <c r="R227" s="11"/>
    </row>
    <row r="228" spans="1:18" s="30" customFormat="1" ht="24" x14ac:dyDescent="0.25">
      <c r="A228" s="29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 t="shared" si="93"/>
        <v>200</v>
      </c>
      <c r="N228" s="5">
        <v>210</v>
      </c>
      <c r="O228" s="16" t="s">
        <v>467</v>
      </c>
      <c r="P228" s="6">
        <v>7.0099999999999996E-2</v>
      </c>
      <c r="Q228" s="6">
        <f>P228*N228</f>
        <v>14.720999999999998</v>
      </c>
      <c r="R228" s="5"/>
    </row>
    <row r="229" spans="1:18" s="30" customFormat="1" ht="24" x14ac:dyDescent="0.25">
      <c r="A229" s="29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5">
        <f t="shared" si="93"/>
        <v>200</v>
      </c>
      <c r="N229" s="11">
        <v>250</v>
      </c>
      <c r="O229" s="16" t="s">
        <v>467</v>
      </c>
      <c r="P229" s="12">
        <v>1.7100000000000001E-2</v>
      </c>
      <c r="Q229" s="12">
        <f t="shared" ref="Q229" si="96">P229*N229</f>
        <v>4.2750000000000004</v>
      </c>
      <c r="R229" s="11"/>
    </row>
    <row r="230" spans="1:18" s="30" customFormat="1" ht="24" x14ac:dyDescent="0.25">
      <c r="A230" s="29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 t="shared" si="93"/>
        <v>200</v>
      </c>
      <c r="N230" s="11">
        <v>250</v>
      </c>
      <c r="O230" s="16" t="s">
        <v>467</v>
      </c>
      <c r="P230" s="12">
        <v>8.9999999999999993E-3</v>
      </c>
      <c r="Q230" s="6">
        <f>P230*N230</f>
        <v>2.25</v>
      </c>
      <c r="R230" s="5"/>
    </row>
    <row r="231" spans="1:18" s="30" customFormat="1" x14ac:dyDescent="0.25">
      <c r="A231" s="29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5">
        <f t="shared" si="93"/>
        <v>100</v>
      </c>
      <c r="N231" s="11">
        <v>120</v>
      </c>
      <c r="O231" s="16" t="s">
        <v>467</v>
      </c>
      <c r="P231" s="12">
        <v>2.81E-2</v>
      </c>
      <c r="Q231" s="12">
        <f t="shared" ref="Q231" si="97">P231*N231</f>
        <v>3.3719999999999999</v>
      </c>
      <c r="R231" s="11"/>
    </row>
    <row r="232" spans="1:18" s="30" customFormat="1" ht="36" x14ac:dyDescent="0.25">
      <c r="A232" s="29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 t="shared" si="93"/>
        <v>100</v>
      </c>
      <c r="N232" s="11">
        <v>150</v>
      </c>
      <c r="O232" s="16" t="s">
        <v>467</v>
      </c>
      <c r="P232" s="12">
        <v>1.29E-2</v>
      </c>
      <c r="Q232" s="6">
        <f>P232*N232</f>
        <v>1.9350000000000001</v>
      </c>
      <c r="R232" s="5"/>
    </row>
    <row r="233" spans="1:18" s="30" customFormat="1" ht="25.5" x14ac:dyDescent="0.25">
      <c r="A233" s="29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5">
        <f t="shared" si="93"/>
        <v>100</v>
      </c>
      <c r="N233" s="11">
        <v>105</v>
      </c>
      <c r="O233" s="16" t="s">
        <v>467</v>
      </c>
      <c r="P233" s="12">
        <v>0.15110000000000001</v>
      </c>
      <c r="Q233" s="12">
        <f t="shared" ref="Q233" si="98">P233*N233</f>
        <v>15.865500000000001</v>
      </c>
      <c r="R233" s="11"/>
    </row>
    <row r="234" spans="1:18" s="30" customFormat="1" ht="48" x14ac:dyDescent="0.25">
      <c r="A234" s="29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 t="shared" si="93"/>
        <v>100</v>
      </c>
      <c r="N234" s="5">
        <v>110</v>
      </c>
      <c r="O234" s="16" t="s">
        <v>467</v>
      </c>
      <c r="P234" s="6">
        <v>3.1099999999999999E-2</v>
      </c>
      <c r="Q234" s="6">
        <f>P234*N234</f>
        <v>3.4209999999999998</v>
      </c>
      <c r="R234" s="5"/>
    </row>
    <row r="235" spans="1:18" s="30" customFormat="1" ht="24" x14ac:dyDescent="0.25">
      <c r="A235" s="29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5">
        <f t="shared" si="93"/>
        <v>100</v>
      </c>
      <c r="N235" s="5">
        <v>150</v>
      </c>
      <c r="O235" s="16" t="s">
        <v>467</v>
      </c>
      <c r="P235" s="6">
        <v>5.4000000000000003E-3</v>
      </c>
      <c r="Q235" s="12">
        <f t="shared" ref="Q235" si="99">P235*N235</f>
        <v>0.81</v>
      </c>
      <c r="R235" s="11"/>
    </row>
    <row r="236" spans="1:18" s="30" customFormat="1" x14ac:dyDescent="0.25">
      <c r="A236" s="29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 t="shared" si="93"/>
        <v>100</v>
      </c>
      <c r="N236" s="5">
        <v>200</v>
      </c>
      <c r="O236" s="16" t="s">
        <v>467</v>
      </c>
      <c r="P236" s="6">
        <v>5.9999999999999995E-4</v>
      </c>
      <c r="Q236" s="6">
        <f>P236*N236</f>
        <v>0.12</v>
      </c>
      <c r="R236" s="5"/>
    </row>
    <row r="237" spans="1:18" s="30" customFormat="1" x14ac:dyDescent="0.25">
      <c r="A237" s="29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5">
        <f t="shared" si="93"/>
        <v>300</v>
      </c>
      <c r="N237" s="5">
        <v>400</v>
      </c>
      <c r="O237" s="16" t="s">
        <v>467</v>
      </c>
      <c r="P237" s="6">
        <v>6.9999999999999999E-4</v>
      </c>
      <c r="Q237" s="12">
        <f t="shared" ref="Q237" si="100">P237*N237</f>
        <v>0.27999999999999997</v>
      </c>
      <c r="R237" s="11"/>
    </row>
    <row r="238" spans="1:18" s="30" customFormat="1" x14ac:dyDescent="0.25">
      <c r="A238" s="29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 t="shared" si="93"/>
        <v>200</v>
      </c>
      <c r="N238" s="5">
        <v>300</v>
      </c>
      <c r="O238" s="16" t="s">
        <v>467</v>
      </c>
      <c r="P238" s="6">
        <v>5.0000000000000001E-4</v>
      </c>
      <c r="Q238" s="6">
        <f>P238*N238</f>
        <v>0.15</v>
      </c>
      <c r="R238" s="5"/>
    </row>
    <row r="239" spans="1:18" s="30" customFormat="1" x14ac:dyDescent="0.25">
      <c r="A239" s="29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5">
        <f t="shared" si="93"/>
        <v>100</v>
      </c>
      <c r="N239" s="5">
        <v>120</v>
      </c>
      <c r="O239" s="16" t="s">
        <v>467</v>
      </c>
      <c r="P239" s="6">
        <v>2.07E-2</v>
      </c>
      <c r="Q239" s="12">
        <f t="shared" ref="Q239" si="101">P239*N239</f>
        <v>2.484</v>
      </c>
      <c r="R239" s="11"/>
    </row>
    <row r="240" spans="1:18" s="30" customFormat="1" x14ac:dyDescent="0.25">
      <c r="A240" s="29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 t="shared" si="93"/>
        <v>200</v>
      </c>
      <c r="N240" s="11">
        <v>300</v>
      </c>
      <c r="O240" s="16" t="s">
        <v>467</v>
      </c>
      <c r="P240" s="12">
        <v>5.9999999999999995E-4</v>
      </c>
      <c r="Q240" s="6">
        <f>P240*N240</f>
        <v>0.18</v>
      </c>
      <c r="R240" s="5"/>
    </row>
    <row r="241" spans="1:18" s="30" customFormat="1" x14ac:dyDescent="0.25">
      <c r="A241" s="29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5">
        <f t="shared" si="93"/>
        <v>100</v>
      </c>
      <c r="N241" s="5">
        <v>200</v>
      </c>
      <c r="O241" s="16" t="s">
        <v>467</v>
      </c>
      <c r="P241" s="6">
        <v>5.9999999999999995E-4</v>
      </c>
      <c r="Q241" s="12">
        <f t="shared" ref="Q241" si="102">P241*N241</f>
        <v>0.12</v>
      </c>
      <c r="R241" s="11"/>
    </row>
    <row r="242" spans="1:18" s="30" customFormat="1" x14ac:dyDescent="0.25">
      <c r="A242" s="29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 t="shared" si="93"/>
        <v>100</v>
      </c>
      <c r="N242" s="5">
        <v>200</v>
      </c>
      <c r="O242" s="16" t="s">
        <v>467</v>
      </c>
      <c r="P242" s="6">
        <v>7.0000000000000001E-3</v>
      </c>
      <c r="Q242" s="6">
        <f>P242*N242</f>
        <v>1.4000000000000001</v>
      </c>
      <c r="R242" s="5"/>
    </row>
    <row r="243" spans="1:18" s="30" customFormat="1" x14ac:dyDescent="0.25">
      <c r="A243" s="29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5">
        <f t="shared" si="93"/>
        <v>100</v>
      </c>
      <c r="N243" s="5">
        <v>200</v>
      </c>
      <c r="O243" s="16" t="s">
        <v>467</v>
      </c>
      <c r="P243" s="6">
        <v>6.9999999999999999E-4</v>
      </c>
      <c r="Q243" s="12">
        <f t="shared" ref="Q243" si="103">P243*N243</f>
        <v>0.13999999999999999</v>
      </c>
      <c r="R243" s="11"/>
    </row>
    <row r="244" spans="1:18" s="30" customFormat="1" x14ac:dyDescent="0.25">
      <c r="A244" s="29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 t="shared" si="93"/>
        <v>100</v>
      </c>
      <c r="N244" s="5">
        <v>200</v>
      </c>
      <c r="O244" s="16" t="s">
        <v>467</v>
      </c>
      <c r="P244" s="6">
        <v>5.9999999999999995E-4</v>
      </c>
      <c r="Q244" s="6">
        <f>P244*N244</f>
        <v>0.12</v>
      </c>
      <c r="R244" s="5"/>
    </row>
    <row r="245" spans="1:18" s="30" customFormat="1" ht="25.5" x14ac:dyDescent="0.25">
      <c r="A245" s="29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5">
        <f t="shared" si="93"/>
        <v>100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s="30" customFormat="1" ht="24" x14ac:dyDescent="0.25">
      <c r="A246" s="29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 t="shared" si="93"/>
        <v>100</v>
      </c>
      <c r="N246" s="5">
        <v>101</v>
      </c>
      <c r="O246" s="16" t="s">
        <v>467</v>
      </c>
      <c r="P246" s="6">
        <v>7.8120000000000003</v>
      </c>
      <c r="Q246" s="6">
        <f>P246*N246</f>
        <v>789.01200000000006</v>
      </c>
      <c r="R246" s="5"/>
    </row>
    <row r="247" spans="1:18" s="30" customFormat="1" ht="24.75" thickBot="1" x14ac:dyDescent="0.3">
      <c r="A247" s="29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5">
        <f t="shared" si="93"/>
        <v>100</v>
      </c>
      <c r="N247" s="11">
        <v>105</v>
      </c>
      <c r="O247" s="16" t="s">
        <v>467</v>
      </c>
      <c r="P247" s="12">
        <v>8.0100000000000005E-2</v>
      </c>
      <c r="Q247" s="12">
        <f t="shared" ref="Q247" si="104">P247*N247</f>
        <v>8.4105000000000008</v>
      </c>
      <c r="R247" s="11"/>
    </row>
    <row r="248" spans="1:18" ht="19.5" thickBo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5" t="s">
        <v>1</v>
      </c>
      <c r="O248" s="26"/>
      <c r="P248" s="26"/>
      <c r="Q248" s="9">
        <f>SUM(Q224:Q247)</f>
        <v>893.0150000000001</v>
      </c>
      <c r="R248" s="1"/>
    </row>
    <row r="249" spans="1:18" ht="19.5" thickBo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5" t="s">
        <v>2</v>
      </c>
      <c r="O249" s="26"/>
      <c r="P249" s="26"/>
      <c r="Q249" s="10">
        <f>Q248/100</f>
        <v>8.9301500000000011</v>
      </c>
      <c r="R249" s="1"/>
    </row>
    <row r="250" spans="1:18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26.25" x14ac:dyDescent="0.25">
      <c r="A251" s="1"/>
      <c r="B251" s="2"/>
      <c r="C251" s="2"/>
      <c r="D251" s="22"/>
      <c r="E251" s="22"/>
      <c r="F251" s="22"/>
      <c r="G251" s="27" t="s">
        <v>923</v>
      </c>
      <c r="H251" s="27"/>
      <c r="I251" s="27"/>
      <c r="J251" s="22"/>
      <c r="K251" s="23"/>
      <c r="L251" s="23"/>
      <c r="M251" s="23"/>
      <c r="N251" s="23"/>
      <c r="O251" s="23"/>
      <c r="P251" s="23"/>
      <c r="Q251" s="23"/>
      <c r="R251" s="23"/>
    </row>
    <row r="252" spans="1:18" ht="15.75" thickBot="1" x14ac:dyDescent="0.3">
      <c r="A252" s="1"/>
      <c r="B252" s="2"/>
      <c r="C252" s="2"/>
      <c r="D252" s="22"/>
      <c r="E252" s="22"/>
      <c r="F252" s="22"/>
      <c r="G252" s="22"/>
      <c r="H252" s="22"/>
      <c r="I252" s="22"/>
      <c r="J252" s="22"/>
      <c r="K252" s="23"/>
      <c r="L252" s="23"/>
      <c r="M252" s="23"/>
      <c r="N252" s="23"/>
      <c r="O252" s="23"/>
      <c r="P252" s="23"/>
      <c r="Q252" s="23"/>
      <c r="R252" s="23"/>
    </row>
    <row r="253" spans="1:18" ht="15.75" thickBot="1" x14ac:dyDescent="0.3">
      <c r="A253" s="1"/>
      <c r="B253" s="4" t="s">
        <v>0</v>
      </c>
      <c r="C253" s="4" t="s">
        <v>3</v>
      </c>
      <c r="D253" s="4" t="s">
        <v>16</v>
      </c>
      <c r="E253" s="4" t="s">
        <v>106</v>
      </c>
      <c r="F253" s="4" t="s">
        <v>190</v>
      </c>
      <c r="G253" s="4" t="s">
        <v>220</v>
      </c>
      <c r="H253" s="4" t="s">
        <v>298</v>
      </c>
      <c r="I253" s="4" t="s">
        <v>459</v>
      </c>
      <c r="J253" s="4" t="s">
        <v>327</v>
      </c>
      <c r="K253" s="4" t="s">
        <v>460</v>
      </c>
      <c r="L253" s="4" t="s">
        <v>458</v>
      </c>
      <c r="M253" s="4" t="s">
        <v>950</v>
      </c>
      <c r="N253" s="4" t="s">
        <v>951</v>
      </c>
      <c r="O253" s="4" t="s">
        <v>463</v>
      </c>
      <c r="P253" s="4" t="s">
        <v>952</v>
      </c>
      <c r="Q253" s="4" t="s">
        <v>953</v>
      </c>
      <c r="R253" s="4" t="s">
        <v>466</v>
      </c>
    </row>
    <row r="254" spans="1:18" ht="36" x14ac:dyDescent="0.25">
      <c r="A254" s="1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L254*100</f>
        <v>200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ht="25.5" x14ac:dyDescent="0.25">
      <c r="A255" s="1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:M259" si="105">L255*100</f>
        <v>100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ht="25.5" x14ac:dyDescent="0.25">
      <c r="A256" s="1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 t="shared" si="105"/>
        <v>100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ht="36" x14ac:dyDescent="0.25">
      <c r="A257" s="1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si="105"/>
        <v>100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ht="25.5" x14ac:dyDescent="0.25">
      <c r="A258" s="1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 t="shared" si="105"/>
        <v>100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ht="26.25" thickBot="1" x14ac:dyDescent="0.3">
      <c r="A259" s="1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si="105"/>
        <v>200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5" t="s">
        <v>1</v>
      </c>
      <c r="O260" s="26"/>
      <c r="P260" s="26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5" t="s">
        <v>2</v>
      </c>
      <c r="O261" s="26"/>
      <c r="P261" s="26"/>
      <c r="Q261" s="10" t="e">
        <f>Q260/100</f>
        <v>#REF!</v>
      </c>
      <c r="R261" s="1"/>
    </row>
  </sheetData>
  <mergeCells count="21">
    <mergeCell ref="G251:I251"/>
    <mergeCell ref="N260:P260"/>
    <mergeCell ref="N261:P261"/>
    <mergeCell ref="G205:I205"/>
    <mergeCell ref="N218:P218"/>
    <mergeCell ref="N219:P219"/>
    <mergeCell ref="G221:I221"/>
    <mergeCell ref="N248:P248"/>
    <mergeCell ref="N249:P249"/>
    <mergeCell ref="N126:P126"/>
    <mergeCell ref="G128:I128"/>
    <mergeCell ref="N182:P182"/>
    <mergeCell ref="N183:P183"/>
    <mergeCell ref="G185:I185"/>
    <mergeCell ref="N202:P202"/>
    <mergeCell ref="D2:O2"/>
    <mergeCell ref="N94:P94"/>
    <mergeCell ref="N95:P95"/>
    <mergeCell ref="D97:O97"/>
    <mergeCell ref="N125:P125"/>
    <mergeCell ref="N203:P203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88" r:id="rId154"/>
    <hyperlink ref="O189" r:id="rId155"/>
    <hyperlink ref="O190" r:id="rId156"/>
    <hyperlink ref="O191" r:id="rId157"/>
    <hyperlink ref="O192" r:id="rId158"/>
    <hyperlink ref="O193" r:id="rId159"/>
    <hyperlink ref="O194" r:id="rId160"/>
    <hyperlink ref="O195" r:id="rId161"/>
    <hyperlink ref="O196" r:id="rId162"/>
    <hyperlink ref="O197" r:id="rId163"/>
    <hyperlink ref="O198" r:id="rId164"/>
    <hyperlink ref="O199" r:id="rId165"/>
    <hyperlink ref="O200" r:id="rId166"/>
    <hyperlink ref="O208" r:id="rId167"/>
    <hyperlink ref="O209" r:id="rId168"/>
    <hyperlink ref="O210" r:id="rId169"/>
    <hyperlink ref="O211" r:id="rId170"/>
    <hyperlink ref="O212" r:id="rId171"/>
    <hyperlink ref="O213" r:id="rId172"/>
    <hyperlink ref="O214" r:id="rId173"/>
    <hyperlink ref="O215" r:id="rId174"/>
    <hyperlink ref="O216" r:id="rId175"/>
    <hyperlink ref="O217" r:id="rId176"/>
    <hyperlink ref="O224" r:id="rId177"/>
    <hyperlink ref="O225" r:id="rId178"/>
    <hyperlink ref="O226" r:id="rId179"/>
    <hyperlink ref="O227" r:id="rId180"/>
    <hyperlink ref="O228" r:id="rId181"/>
    <hyperlink ref="O229" r:id="rId182"/>
    <hyperlink ref="O230" r:id="rId183"/>
    <hyperlink ref="O231" r:id="rId184"/>
    <hyperlink ref="O232" r:id="rId185"/>
    <hyperlink ref="O233" r:id="rId186"/>
    <hyperlink ref="O234" r:id="rId187"/>
    <hyperlink ref="O235" r:id="rId188"/>
    <hyperlink ref="O236" r:id="rId189"/>
    <hyperlink ref="O237" r:id="rId190"/>
    <hyperlink ref="O238" r:id="rId191"/>
    <hyperlink ref="O239" r:id="rId192"/>
    <hyperlink ref="O240" r:id="rId193"/>
    <hyperlink ref="O241" r:id="rId194"/>
    <hyperlink ref="O242" r:id="rId195"/>
    <hyperlink ref="O243" r:id="rId196"/>
    <hyperlink ref="O244" r:id="rId197"/>
    <hyperlink ref="O246" r:id="rId198"/>
    <hyperlink ref="O247" r:id="rId199"/>
    <hyperlink ref="O124" r:id="rId200" location="nav-specification"/>
    <hyperlink ref="O179" r:id="rId20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 Boards</vt:lpstr>
      <vt:lpstr>10 Boards</vt:lpstr>
      <vt:lpstr>100 Boards</vt:lpstr>
      <vt:lpstr>200 Boards</vt:lpstr>
      <vt:lpstr>500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2024-09-03T14:44:44Z</dcterms:modified>
</cp:coreProperties>
</file>