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92" i="1" l="1"/>
  <c r="Q91" i="1"/>
  <c r="Q74" i="1"/>
  <c r="Q72" i="1"/>
  <c r="Q71" i="1"/>
  <c r="Q70" i="1"/>
  <c r="Q69" i="1"/>
  <c r="Q68" i="1"/>
  <c r="Q67" i="1"/>
  <c r="Q66" i="1"/>
  <c r="Q65" i="1"/>
  <c r="Q64" i="1"/>
  <c r="Q63" i="1"/>
  <c r="Q62" i="1"/>
  <c r="Q61" i="1"/>
  <c r="Q51" i="1" l="1"/>
  <c r="Q52" i="1" s="1"/>
  <c r="Q48" i="1"/>
  <c r="Q46" i="1"/>
  <c r="Q45" i="1"/>
  <c r="Q44" i="1"/>
  <c r="Q43" i="1"/>
  <c r="Q42" i="1"/>
  <c r="Q41" i="1"/>
  <c r="Q40" i="1"/>
  <c r="Q39" i="1"/>
  <c r="Q38" i="1"/>
  <c r="Q37" i="1"/>
  <c r="Q36" i="1"/>
  <c r="Q35" i="1"/>
  <c r="Q24" i="1" l="1"/>
  <c r="M24" i="1"/>
  <c r="B24" i="1"/>
  <c r="Q23" i="1"/>
  <c r="M23" i="1"/>
  <c r="B23" i="1"/>
  <c r="Q22" i="1"/>
  <c r="M22" i="1"/>
  <c r="B22" i="1"/>
  <c r="M21" i="1"/>
  <c r="B21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25" i="1" l="1"/>
  <c r="Q26" i="1" s="1"/>
  <c r="Q7" i="1"/>
  <c r="Q6" i="1"/>
  <c r="M7" i="1"/>
  <c r="M6" i="1"/>
  <c r="B7" i="1"/>
  <c r="B6" i="1"/>
</calcChain>
</file>

<file path=xl/sharedStrings.xml><?xml version="1.0" encoding="utf-8"?>
<sst xmlns="http://schemas.openxmlformats.org/spreadsheetml/2006/main" count="571" uniqueCount="311">
  <si>
    <t>#</t>
  </si>
  <si>
    <t xml:space="preserve">Total Component Cost </t>
  </si>
  <si>
    <t>Single Board Cost</t>
  </si>
  <si>
    <t>Item Type</t>
  </si>
  <si>
    <t>Capacitor</t>
  </si>
  <si>
    <t>Diode</t>
  </si>
  <si>
    <t>Ferrite Bead</t>
  </si>
  <si>
    <t>Modular / Ethernet Connectors</t>
  </si>
  <si>
    <t>IC</t>
  </si>
  <si>
    <t>Resistors</t>
  </si>
  <si>
    <t>Resistor</t>
  </si>
  <si>
    <t>Designator</t>
  </si>
  <si>
    <t>C123, C131</t>
  </si>
  <si>
    <t>C214, C215, C216, C217</t>
  </si>
  <si>
    <t>C218</t>
  </si>
  <si>
    <t>C275</t>
  </si>
  <si>
    <t>C276</t>
  </si>
  <si>
    <t>D23, D24</t>
  </si>
  <si>
    <t>D25, D26</t>
  </si>
  <si>
    <t>FB8</t>
  </si>
  <si>
    <t>J1</t>
  </si>
  <si>
    <t>Q10, Q11</t>
  </si>
  <si>
    <t>R54, R61, R131, R132, R133, R134, R135, R136, R137, R138, R139, R140, R141, R142, R143, R144, R145, R146, R147, R148, R149</t>
  </si>
  <si>
    <t>R59, R60</t>
  </si>
  <si>
    <t>R150</t>
  </si>
  <si>
    <t>R151, R152</t>
  </si>
  <si>
    <t>R153</t>
  </si>
  <si>
    <t>R154</t>
  </si>
  <si>
    <t>R155</t>
  </si>
  <si>
    <t>R196, R197, R198, R199</t>
  </si>
  <si>
    <t>U17</t>
  </si>
  <si>
    <t>Description</t>
  </si>
  <si>
    <t>CAP CER 1000PF 2KV X7R 1206</t>
  </si>
  <si>
    <t>CAP CER 0.1UF 100V X7R 0603</t>
  </si>
  <si>
    <t>CAP CER 10000PF 100V X7R 0402</t>
  </si>
  <si>
    <t>CAP CER 1UF 16V X5R 0402</t>
  </si>
  <si>
    <t>CAP CER 0.1UF 16V X5R 0402</t>
  </si>
  <si>
    <t>TVS DIODE 58VWM 93.6VC SMB</t>
  </si>
  <si>
    <t>DFN1006-2 ESD Protection Devices ROHS</t>
  </si>
  <si>
    <t>FERRITE BEAD 300 OHM 0603 1LN</t>
  </si>
  <si>
    <t>Modular Connectors / Ethernet Connectors 1000Base-T RJ45 1X1 1GPoE 140W</t>
  </si>
  <si>
    <t>MOSFET N-CH 100V 15A 8VSON</t>
  </si>
  <si>
    <t>RES 0 OHM JUMPER 1/16W 0402</t>
  </si>
  <si>
    <t>RES 470 OHM 1% 1/16W 0402</t>
  </si>
  <si>
    <t>RES SMD 7.68KOHM 0.1% 1/16W 0402</t>
  </si>
  <si>
    <t>RES 0.2 OHM 1% 1W 1206</t>
  </si>
  <si>
    <t>62.5mW Thick Film Resistors 50V ±100ppm/℃ ±1% 15.8kΩ 0402 Chip Resistor - Surface Mount ROHS</t>
  </si>
  <si>
    <t>RES 11K OHM 1% 1/16W 0402</t>
  </si>
  <si>
    <t>RES 4.7K OHM 1% 1/16W 0402</t>
  </si>
  <si>
    <t>RES 75 OHM 5% 1/16W 0402</t>
  </si>
  <si>
    <t>TYPE-4, FOUR-PAIR, 8-CHANNEL POE</t>
  </si>
  <si>
    <t>Footprint</t>
  </si>
  <si>
    <t>Cap-1206</t>
  </si>
  <si>
    <t>Cap-0603</t>
  </si>
  <si>
    <t>Cap-0402</t>
  </si>
  <si>
    <t>SMB_</t>
  </si>
  <si>
    <t>DFN1006-2L_</t>
  </si>
  <si>
    <t>IND-0603 (1608 Metric)</t>
  </si>
  <si>
    <t>JK0-0229NL</t>
  </si>
  <si>
    <t>VSONP-8(3.1x3.1)</t>
  </si>
  <si>
    <t>Res-0402</t>
  </si>
  <si>
    <t>Res-1206</t>
  </si>
  <si>
    <t>56-VQFN (8x8)</t>
  </si>
  <si>
    <t>Manufacturer Part Number</t>
  </si>
  <si>
    <t>CC1206KKX7RDBB102</t>
  </si>
  <si>
    <t>CC0603KRX7R0BB104</t>
  </si>
  <si>
    <t>CC0402KRX7R0BB103</t>
  </si>
  <si>
    <t>CC0402KRX5R7BB105</t>
  </si>
  <si>
    <t>CC0402KRX5R7BB104</t>
  </si>
  <si>
    <t>SMBJ58A-13-F</t>
  </si>
  <si>
    <t>ESD9X5VU</t>
  </si>
  <si>
    <t>CSD19538Q3A</t>
  </si>
  <si>
    <t>RC0402FR-070RL</t>
  </si>
  <si>
    <t>RC0402FR-07470RL</t>
  </si>
  <si>
    <t>RT0402BRD077K68L</t>
  </si>
  <si>
    <t>PE1206FRF470R2L</t>
  </si>
  <si>
    <t>0402WGF1582TCE</t>
  </si>
  <si>
    <t>RC0402FR-0711KL</t>
  </si>
  <si>
    <t>RC0402FR-074K7L</t>
  </si>
  <si>
    <t>RC0402JR-0775RL</t>
  </si>
  <si>
    <t>TPS23881B1RTQR</t>
  </si>
  <si>
    <t>Manufacturer</t>
  </si>
  <si>
    <t>Yageo</t>
  </si>
  <si>
    <t>Diodes</t>
  </si>
  <si>
    <t>TECH PUBLIC</t>
  </si>
  <si>
    <t>Wurth Electronics</t>
  </si>
  <si>
    <t>Pulse</t>
  </si>
  <si>
    <t>Texas Instruments</t>
  </si>
  <si>
    <t>Royal Electronic Factory</t>
  </si>
  <si>
    <t>LCSC Part Number</t>
  </si>
  <si>
    <t>C23631</t>
  </si>
  <si>
    <t>C113803</t>
  </si>
  <si>
    <t>C527014</t>
  </si>
  <si>
    <t>C325464</t>
  </si>
  <si>
    <t>C106204</t>
  </si>
  <si>
    <t>C135085</t>
  </si>
  <si>
    <t>C2875160</t>
  </si>
  <si>
    <t>C2649308</t>
  </si>
  <si>
    <t>C478471</t>
  </si>
  <si>
    <t>C106231</t>
  </si>
  <si>
    <t>C114877</t>
  </si>
  <si>
    <t>C852919</t>
  </si>
  <si>
    <t>C723709</t>
  </si>
  <si>
    <t>C26956</t>
  </si>
  <si>
    <t>C138063</t>
  </si>
  <si>
    <t>C105871</t>
  </si>
  <si>
    <t>C137841</t>
  </si>
  <si>
    <t>1000pF</t>
  </si>
  <si>
    <t>100nF</t>
  </si>
  <si>
    <t>10nF</t>
  </si>
  <si>
    <t>1uF</t>
  </si>
  <si>
    <t>0R</t>
  </si>
  <si>
    <t>470R</t>
  </si>
  <si>
    <t>7.68K</t>
  </si>
  <si>
    <t>200mR</t>
  </si>
  <si>
    <t>DNP</t>
  </si>
  <si>
    <t>4.7K</t>
  </si>
  <si>
    <t>75R</t>
  </si>
  <si>
    <t>Quantity</t>
  </si>
  <si>
    <t xml:space="preserve"> Quantity (5 Boards)</t>
  </si>
  <si>
    <t>Value</t>
  </si>
  <si>
    <t>MOQ (5 Boards)</t>
  </si>
  <si>
    <t>Links</t>
  </si>
  <si>
    <t>Unit Cost (5 Boards)</t>
  </si>
  <si>
    <t>Total Cost (5 Boards)</t>
  </si>
  <si>
    <t xml:space="preserve"> Remarks</t>
  </si>
  <si>
    <t>-</t>
  </si>
  <si>
    <t>DO NOT PLACE</t>
  </si>
  <si>
    <t>Alternate Part Number</t>
  </si>
  <si>
    <t>PoE_PSE_CONTROLLER</t>
  </si>
  <si>
    <t>ETH_SWITCH_INTERFACE</t>
  </si>
  <si>
    <t>C120, C223, C233, C238, C239</t>
  </si>
  <si>
    <t>C121, C124, C125, C219, C220, C221, C222, C224, C225, C226, C227, C228, C229, C230, C234, C235, C236, C237, C240, C241, C242, C243</t>
  </si>
  <si>
    <t>C231, C232</t>
  </si>
  <si>
    <t>CAP CER 22PF 50V C0G/NPO 0402</t>
  </si>
  <si>
    <t>CC0402JRNPO9BN220</t>
  </si>
  <si>
    <t>D5</t>
  </si>
  <si>
    <t>100V 400mW Single 1.25V@150mA 8ns 300mA SOD-123 Switching Diode ROHS</t>
  </si>
  <si>
    <t>SOD-123</t>
  </si>
  <si>
    <t>1N4148W</t>
  </si>
  <si>
    <t>JSMSEMI</t>
  </si>
  <si>
    <t>FB2, FB6</t>
  </si>
  <si>
    <t>150mΩ ±25% 300Ω@100MHz 0603 Ferrite Beads ROHS</t>
  </si>
  <si>
    <t>ACMS160808A3012A</t>
  </si>
  <si>
    <t>HYHONGYEX</t>
  </si>
  <si>
    <t>FB4, FB5</t>
  </si>
  <si>
    <t>R43</t>
  </si>
  <si>
    <t>RES 10K OHM 1% 1/16W 0402</t>
  </si>
  <si>
    <t>RC0402FR-0710KL</t>
  </si>
  <si>
    <t>R44, R45, R46, R47, R48, R49, R50, R51</t>
  </si>
  <si>
    <t>RES 22 OHM 1% 1/16W 0402</t>
  </si>
  <si>
    <t>RC0402FR-0722RL</t>
  </si>
  <si>
    <t>R52</t>
  </si>
  <si>
    <t>RES 1K OHM 1% 1/16W 0402</t>
  </si>
  <si>
    <t>RC0402FR-071KL</t>
  </si>
  <si>
    <t>R53</t>
  </si>
  <si>
    <t>RES 2.49K OHM 1% 1/16W 0402</t>
  </si>
  <si>
    <t>RC0402FR-072K49L</t>
  </si>
  <si>
    <t>R62, R63, R66, R67, R122</t>
  </si>
  <si>
    <t>R64</t>
  </si>
  <si>
    <t>R65</t>
  </si>
  <si>
    <t>R194</t>
  </si>
  <si>
    <t>RES 1.5K OHM 1% 1/16W 0402</t>
  </si>
  <si>
    <t>RC0402FR-071K5L</t>
  </si>
  <si>
    <t>U16</t>
  </si>
  <si>
    <t>QFN-76 Ethernet Transceivers ROHS</t>
  </si>
  <si>
    <t>QFN-76</t>
  </si>
  <si>
    <t>RTL8363NB-VB-CG</t>
  </si>
  <si>
    <t>Realtek Semicon</t>
  </si>
  <si>
    <t>Crystal</t>
  </si>
  <si>
    <t>X2</t>
  </si>
  <si>
    <t>CRYSTAL 25.0000MHZ 12PF SMD</t>
  </si>
  <si>
    <t>Q22FA12800090</t>
  </si>
  <si>
    <t>Seiko Epson</t>
  </si>
  <si>
    <t>C106203</t>
  </si>
  <si>
    <t>22PF</t>
  </si>
  <si>
    <t>C917030</t>
  </si>
  <si>
    <t>C963867</t>
  </si>
  <si>
    <t>300R</t>
  </si>
  <si>
    <t>C60490</t>
  </si>
  <si>
    <t>10K</t>
  </si>
  <si>
    <t>C114765</t>
  </si>
  <si>
    <t>22R</t>
  </si>
  <si>
    <t>C106235</t>
  </si>
  <si>
    <t>1K</t>
  </si>
  <si>
    <t>C145071</t>
  </si>
  <si>
    <t>2.49K</t>
  </si>
  <si>
    <t>C114759</t>
  </si>
  <si>
    <t>1.5K</t>
  </si>
  <si>
    <t>C2835942</t>
  </si>
  <si>
    <t>C255883</t>
  </si>
  <si>
    <t>25MHz</t>
  </si>
  <si>
    <t>ETH_PoE-PD_INTERFACE</t>
  </si>
  <si>
    <t>C119, C248</t>
  </si>
  <si>
    <t>C122, C213, C277</t>
  </si>
  <si>
    <t>C208, C209, C210, C211</t>
  </si>
  <si>
    <t>CAP CER 10000PF 50V X7R 0402</t>
  </si>
  <si>
    <t>CC0402KRX7R9BB103</t>
  </si>
  <si>
    <t>C245</t>
  </si>
  <si>
    <t>CAP ALUM 100UF 20% 100V SMD</t>
  </si>
  <si>
    <t>EEEFK2A101AM</t>
  </si>
  <si>
    <t>EEE-FK2A101AM</t>
  </si>
  <si>
    <t>Panasonic</t>
  </si>
  <si>
    <t>C246, C247, C269, C270</t>
  </si>
  <si>
    <t>CAP CER 1000PF 100V X7R 0603</t>
  </si>
  <si>
    <t>06031C102JAT2A</t>
  </si>
  <si>
    <t>Kyocera AVX</t>
  </si>
  <si>
    <t>D4</t>
  </si>
  <si>
    <t>DIODE ZENER 12V 200MW SOD323</t>
  </si>
  <si>
    <t>SOD-323</t>
  </si>
  <si>
    <t>MMSZ5242BS-7-F</t>
  </si>
  <si>
    <t>D6, D7, D8, D9, D10, D11, D12, D13, D30, D31</t>
  </si>
  <si>
    <t>D27</t>
  </si>
  <si>
    <t>D28</t>
  </si>
  <si>
    <t>D41</t>
  </si>
  <si>
    <t>DIODE SCHOTTKY 100V 2A SMB</t>
  </si>
  <si>
    <t>B2100-13-F</t>
  </si>
  <si>
    <t>FB3, FB7, FB9, FB10</t>
  </si>
  <si>
    <t>Ethernet Connectors</t>
  </si>
  <si>
    <t>J11</t>
  </si>
  <si>
    <t>CONN MOD JACK 8P8C R/A SHIELDED</t>
  </si>
  <si>
    <t>2-406549-1</t>
  </si>
  <si>
    <t>TE Connectivity</t>
  </si>
  <si>
    <t>Terminal Blocks</t>
  </si>
  <si>
    <t>J13</t>
  </si>
  <si>
    <t>TERM BLK 2P SIDE ENT 5.08MM PCB</t>
  </si>
  <si>
    <t>Phoenix Contact</t>
  </si>
  <si>
    <t>Mosfet</t>
  </si>
  <si>
    <t>Q5, Q6</t>
  </si>
  <si>
    <t>GREENBRIDGETM 2 SERIES OF HIGH-E</t>
  </si>
  <si>
    <t>12-MLP (5x4.5)</t>
  </si>
  <si>
    <t>FDMQ8205A</t>
  </si>
  <si>
    <t>ON Semiconductor / Fairchild</t>
  </si>
  <si>
    <t>BJTs</t>
  </si>
  <si>
    <t>Q7, Q8, Q9, Q12</t>
  </si>
  <si>
    <t>TRANS NPN 80V 0.5A SOT23-3</t>
  </si>
  <si>
    <t>SOT-23</t>
  </si>
  <si>
    <t>MMBTA06-7-F</t>
  </si>
  <si>
    <t>R40, R41, R42, R127</t>
  </si>
  <si>
    <t>RES 6.8K OHM 1% 1/16W 0402</t>
  </si>
  <si>
    <t>RC0402FR-076K8L</t>
  </si>
  <si>
    <t>R55, R58</t>
  </si>
  <si>
    <t>R56, R57</t>
  </si>
  <si>
    <t>R123, R124, R125, R126, R190, R191, R192, R193</t>
  </si>
  <si>
    <t>R128, R129</t>
  </si>
  <si>
    <t>RES 20K OHM 1% 1/10W 0603</t>
  </si>
  <si>
    <t>Res-0603</t>
  </si>
  <si>
    <t>RC0603FR-0720KL</t>
  </si>
  <si>
    <t>R130, R158, R159, R160</t>
  </si>
  <si>
    <t>RES SMD 8.2K OHM 0.1% 1/16W 0402</t>
  </si>
  <si>
    <t>RT0402BRD078K2L</t>
  </si>
  <si>
    <t>R161</t>
  </si>
  <si>
    <t>100mW Thick Film Resistors 75V ±100ppm/℃ ±1% 24.9kΩ 0603 Chip Resistor - Surface Mount ROHS</t>
  </si>
  <si>
    <t>0603WAF2492T5E</t>
  </si>
  <si>
    <t>UNI-ROYAL(Uniroyal Elec)</t>
  </si>
  <si>
    <t>R162</t>
  </si>
  <si>
    <t>RES 53.6K OHM 1% 1/10W 0603</t>
  </si>
  <si>
    <t>RC0603FR-0753K6L</t>
  </si>
  <si>
    <t>R163, R164, R165, R166, R169</t>
  </si>
  <si>
    <t>RES 49.9K OHM 1% 1/10W 0603</t>
  </si>
  <si>
    <t>RC0603FR-0749K9L</t>
  </si>
  <si>
    <t>R167</t>
  </si>
  <si>
    <t>RES SMD 63.4 OHM 1% 1/10W 0603</t>
  </si>
  <si>
    <t>AC0603FR-0763R4L</t>
  </si>
  <si>
    <t>R168</t>
  </si>
  <si>
    <t>RES SMD 90.9 OHM 0.1% 1/10W 0603</t>
  </si>
  <si>
    <t>RT0603BRD0790R9L</t>
  </si>
  <si>
    <t>Potentiometer</t>
  </si>
  <si>
    <t>R170</t>
  </si>
  <si>
    <t>TRIMMER 2K OHM 0.5W PC PIN TOP</t>
  </si>
  <si>
    <t>3362P-1-202LF</t>
  </si>
  <si>
    <t>Bourns</t>
  </si>
  <si>
    <t>R171</t>
  </si>
  <si>
    <t>RES SMD 1K OHM 1% 1/10W 0603</t>
  </si>
  <si>
    <t>RC0603FR-071KL</t>
  </si>
  <si>
    <t>Transformers</t>
  </si>
  <si>
    <t>T1</t>
  </si>
  <si>
    <t>PULSE XFMR 1CT:1CT TX 1CT:1CT RX</t>
  </si>
  <si>
    <t>U18</t>
  </si>
  <si>
    <t>IC POE CNTRL 1 CHANNEL 20VQFN</t>
  </si>
  <si>
    <t>VQFN-20-EP(5x5)</t>
  </si>
  <si>
    <t>TPS2372-4RGWR</t>
  </si>
  <si>
    <t>0.1uF</t>
  </si>
  <si>
    <t>C60133</t>
  </si>
  <si>
    <t>C178569</t>
  </si>
  <si>
    <t>100uF</t>
  </si>
  <si>
    <t>C2179225</t>
  </si>
  <si>
    <t>1nF</t>
  </si>
  <si>
    <t>C151457</t>
  </si>
  <si>
    <t>C110479</t>
  </si>
  <si>
    <t>C125068</t>
  </si>
  <si>
    <t>C93940</t>
  </si>
  <si>
    <t>6.8K</t>
  </si>
  <si>
    <t>C105575</t>
  </si>
  <si>
    <t>20K</t>
  </si>
  <si>
    <t>C852943</t>
  </si>
  <si>
    <t>8.2K</t>
  </si>
  <si>
    <t>C25962</t>
  </si>
  <si>
    <t>24.9K</t>
  </si>
  <si>
    <t>C137700</t>
  </si>
  <si>
    <t>53.6K</t>
  </si>
  <si>
    <t>C114624</t>
  </si>
  <si>
    <t>49K9</t>
  </si>
  <si>
    <t>C228004</t>
  </si>
  <si>
    <t>63.4R</t>
  </si>
  <si>
    <t>C861597</t>
  </si>
  <si>
    <t>90.9R</t>
  </si>
  <si>
    <t>C111654</t>
  </si>
  <si>
    <t>2K</t>
  </si>
  <si>
    <t>C22548</t>
  </si>
  <si>
    <t>C470955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</si>
</sst>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" fillId="2" borderId="0" xfId="0" applyFont="1" applyFill="1" applyBorder="1"/>
    <xf numFmtId="0" fontId="1" fillId="2" borderId="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7" fillId="3" borderId="6" xfId="0" applyFont="1" applyFill="1" applyBorder="1" applyAlignment="1" applyProtection="1">
      <alignment horizontal="center" vertical="top"/>
      <protection locked="0"/>
    </xf>
    <xf numFmtId="0" fontId="7" fillId="3" borderId="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2"/>
  <sheetViews>
    <sheetView tabSelected="1" workbookViewId="0">
      <selection activeCell="G27" sqref="G27"/>
    </sheetView>
  </sheetViews>
  <sheetFormatPr defaultRowHeight="15" x14ac:dyDescent="0.2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9.42578125" bestFit="1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25.85546875" bestFit="1" customWidth="1"/>
    <col min="17" max="17" width="26.42578125" bestFit="1" customWidth="1"/>
    <col min="18" max="18" width="16.5703125" bestFit="1" customWidth="1"/>
  </cols>
  <sheetData>
    <row r="1" spans="1:18" x14ac:dyDescent="0.25">
      <c r="A1" s="1"/>
      <c r="B1" s="3"/>
      <c r="C1" s="3"/>
      <c r="D1" s="2"/>
      <c r="E1" s="2"/>
      <c r="F1" s="2"/>
      <c r="G1" s="2"/>
      <c r="H1" s="2"/>
      <c r="I1" s="2"/>
      <c r="J1" s="2"/>
      <c r="K1" s="22"/>
      <c r="L1" s="22"/>
      <c r="M1" s="22"/>
      <c r="N1" s="22"/>
      <c r="O1" s="22"/>
      <c r="P1" s="22"/>
      <c r="Q1" s="22"/>
      <c r="R1" s="22"/>
    </row>
    <row r="2" spans="1:18" x14ac:dyDescent="0.25">
      <c r="A2" s="1"/>
      <c r="B2" s="3"/>
      <c r="C2" s="3"/>
      <c r="D2" s="20"/>
      <c r="E2" s="20"/>
      <c r="F2" s="20"/>
      <c r="G2" s="20"/>
      <c r="H2" s="20"/>
      <c r="I2" s="20"/>
      <c r="J2" s="20"/>
      <c r="K2" s="21"/>
      <c r="L2" s="21"/>
      <c r="M2" s="21"/>
      <c r="N2" s="21"/>
      <c r="O2" s="21"/>
      <c r="P2" s="21"/>
      <c r="Q2" s="21"/>
      <c r="R2" s="21"/>
    </row>
    <row r="3" spans="1:18" ht="18" x14ac:dyDescent="0.25">
      <c r="A3" s="1"/>
      <c r="B3" s="3"/>
      <c r="C3" s="3"/>
      <c r="D3" s="20"/>
      <c r="E3" s="20"/>
      <c r="F3" s="20"/>
      <c r="G3" s="23" t="s">
        <v>129</v>
      </c>
      <c r="H3" s="23"/>
      <c r="I3" s="23"/>
      <c r="J3" s="20"/>
      <c r="K3" s="21"/>
      <c r="L3" s="21"/>
      <c r="M3" s="21"/>
      <c r="N3" s="21"/>
      <c r="O3" s="21"/>
      <c r="P3" s="21"/>
      <c r="Q3" s="21"/>
      <c r="R3" s="21"/>
    </row>
    <row r="4" spans="1:18" ht="15.75" thickBot="1" x14ac:dyDescent="0.3">
      <c r="A4" s="1"/>
      <c r="B4" s="3"/>
      <c r="C4" s="3"/>
      <c r="D4" s="20"/>
      <c r="E4" s="20"/>
      <c r="F4" s="20"/>
      <c r="G4" s="20"/>
      <c r="H4" s="20"/>
      <c r="I4" s="20"/>
      <c r="J4" s="20"/>
      <c r="K4" s="21"/>
      <c r="L4" s="21"/>
      <c r="M4" s="21"/>
      <c r="N4" s="21"/>
      <c r="O4" s="21"/>
      <c r="P4" s="21"/>
      <c r="Q4" s="21"/>
      <c r="R4" s="21"/>
    </row>
    <row r="5" spans="1:18" ht="15.75" thickBot="1" x14ac:dyDescent="0.3">
      <c r="A5" s="1"/>
      <c r="B5" s="5" t="s">
        <v>0</v>
      </c>
      <c r="C5" s="5" t="s">
        <v>3</v>
      </c>
      <c r="D5" s="5" t="s">
        <v>11</v>
      </c>
      <c r="E5" s="5" t="s">
        <v>31</v>
      </c>
      <c r="F5" s="5" t="s">
        <v>51</v>
      </c>
      <c r="G5" s="5" t="s">
        <v>63</v>
      </c>
      <c r="H5" s="5" t="s">
        <v>81</v>
      </c>
      <c r="I5" s="5" t="s">
        <v>128</v>
      </c>
      <c r="J5" s="5" t="s">
        <v>89</v>
      </c>
      <c r="K5" s="5" t="s">
        <v>120</v>
      </c>
      <c r="L5" s="5" t="s">
        <v>118</v>
      </c>
      <c r="M5" s="5" t="s">
        <v>119</v>
      </c>
      <c r="N5" s="5" t="s">
        <v>121</v>
      </c>
      <c r="O5" s="5" t="s">
        <v>122</v>
      </c>
      <c r="P5" s="5" t="s">
        <v>123</v>
      </c>
      <c r="Q5" s="5" t="s">
        <v>124</v>
      </c>
      <c r="R5" s="5" t="s">
        <v>125</v>
      </c>
    </row>
    <row r="6" spans="1:18" x14ac:dyDescent="0.25">
      <c r="A6" s="1"/>
      <c r="B6" s="8">
        <f>ROW(B6) - ROW($B$5)</f>
        <v>1</v>
      </c>
      <c r="C6" s="14" t="s">
        <v>4</v>
      </c>
      <c r="D6" s="6" t="s">
        <v>12</v>
      </c>
      <c r="E6" s="6" t="s">
        <v>32</v>
      </c>
      <c r="F6" s="6" t="s">
        <v>52</v>
      </c>
      <c r="G6" s="6" t="s">
        <v>64</v>
      </c>
      <c r="H6" s="6" t="s">
        <v>82</v>
      </c>
      <c r="I6" s="6"/>
      <c r="J6" s="6" t="s">
        <v>90</v>
      </c>
      <c r="K6" s="6" t="s">
        <v>107</v>
      </c>
      <c r="L6" s="6">
        <v>2</v>
      </c>
      <c r="M6" s="6">
        <f>L6*5</f>
        <v>10</v>
      </c>
      <c r="N6" s="6"/>
      <c r="O6" s="6"/>
      <c r="P6" s="7"/>
      <c r="Q6" s="7">
        <f>P6*N6</f>
        <v>0</v>
      </c>
      <c r="R6" s="6"/>
    </row>
    <row r="7" spans="1:18" x14ac:dyDescent="0.25">
      <c r="A7" s="1"/>
      <c r="B7" s="9">
        <f t="shared" ref="B7:B23" si="0">ROW(B7) - ROW($B$5)</f>
        <v>2</v>
      </c>
      <c r="C7" s="14" t="s">
        <v>4</v>
      </c>
      <c r="D7" s="12" t="s">
        <v>13</v>
      </c>
      <c r="E7" s="12" t="s">
        <v>33</v>
      </c>
      <c r="F7" s="12" t="s">
        <v>53</v>
      </c>
      <c r="G7" s="12" t="s">
        <v>65</v>
      </c>
      <c r="H7" s="12" t="s">
        <v>82</v>
      </c>
      <c r="I7" s="12"/>
      <c r="J7" s="12" t="s">
        <v>91</v>
      </c>
      <c r="K7" s="12" t="s">
        <v>108</v>
      </c>
      <c r="L7" s="12">
        <v>4</v>
      </c>
      <c r="M7" s="12">
        <f t="shared" ref="M7" si="1">L7*5</f>
        <v>20</v>
      </c>
      <c r="N7" s="12"/>
      <c r="O7" s="12"/>
      <c r="P7" s="13"/>
      <c r="Q7" s="13">
        <f t="shared" ref="Q7" si="2">P7*N7</f>
        <v>0</v>
      </c>
      <c r="R7" s="12"/>
    </row>
    <row r="8" spans="1:18" x14ac:dyDescent="0.25">
      <c r="A8" s="1"/>
      <c r="B8" s="8">
        <f>ROW(B8) - ROW($B$5)</f>
        <v>3</v>
      </c>
      <c r="C8" s="14" t="s">
        <v>4</v>
      </c>
      <c r="D8" s="6" t="s">
        <v>14</v>
      </c>
      <c r="E8" s="6" t="s">
        <v>34</v>
      </c>
      <c r="F8" s="6" t="s">
        <v>54</v>
      </c>
      <c r="G8" s="6" t="s">
        <v>66</v>
      </c>
      <c r="H8" s="6" t="s">
        <v>82</v>
      </c>
      <c r="I8" s="6"/>
      <c r="J8" s="6" t="s">
        <v>92</v>
      </c>
      <c r="K8" s="6" t="s">
        <v>109</v>
      </c>
      <c r="L8" s="6">
        <v>1</v>
      </c>
      <c r="M8" s="6">
        <f>L8*5</f>
        <v>5</v>
      </c>
      <c r="N8" s="6"/>
      <c r="O8" s="6"/>
      <c r="P8" s="7"/>
      <c r="Q8" s="7">
        <f>P8*N8</f>
        <v>0</v>
      </c>
      <c r="R8" s="6"/>
    </row>
    <row r="9" spans="1:18" x14ac:dyDescent="0.25">
      <c r="A9" s="1"/>
      <c r="B9" s="9">
        <f t="shared" si="0"/>
        <v>4</v>
      </c>
      <c r="C9" s="14" t="s">
        <v>4</v>
      </c>
      <c r="D9" s="12" t="s">
        <v>15</v>
      </c>
      <c r="E9" s="12" t="s">
        <v>35</v>
      </c>
      <c r="F9" s="12" t="s">
        <v>54</v>
      </c>
      <c r="G9" s="12" t="s">
        <v>67</v>
      </c>
      <c r="H9" s="12" t="s">
        <v>82</v>
      </c>
      <c r="I9" s="12"/>
      <c r="J9" s="12" t="s">
        <v>93</v>
      </c>
      <c r="K9" s="12" t="s">
        <v>110</v>
      </c>
      <c r="L9" s="12">
        <v>1</v>
      </c>
      <c r="M9" s="12">
        <f t="shared" ref="M9" si="3">L9*5</f>
        <v>5</v>
      </c>
      <c r="N9" s="12"/>
      <c r="O9" s="12"/>
      <c r="P9" s="13"/>
      <c r="Q9" s="13">
        <f t="shared" ref="Q9" si="4">P9*N9</f>
        <v>0</v>
      </c>
      <c r="R9" s="12"/>
    </row>
    <row r="10" spans="1:18" x14ac:dyDescent="0.25">
      <c r="A10" s="1"/>
      <c r="B10" s="8">
        <f>ROW(B10) - ROW($B$5)</f>
        <v>5</v>
      </c>
      <c r="C10" s="14" t="s">
        <v>4</v>
      </c>
      <c r="D10" s="6" t="s">
        <v>16</v>
      </c>
      <c r="E10" s="6" t="s">
        <v>36</v>
      </c>
      <c r="F10" s="6" t="s">
        <v>54</v>
      </c>
      <c r="G10" s="6" t="s">
        <v>68</v>
      </c>
      <c r="H10" s="6" t="s">
        <v>82</v>
      </c>
      <c r="I10" s="6"/>
      <c r="J10" s="6" t="s">
        <v>94</v>
      </c>
      <c r="K10" s="6" t="s">
        <v>108</v>
      </c>
      <c r="L10" s="6">
        <v>1</v>
      </c>
      <c r="M10" s="6">
        <f>L10*5</f>
        <v>5</v>
      </c>
      <c r="N10" s="6"/>
      <c r="O10" s="6"/>
      <c r="P10" s="7"/>
      <c r="Q10" s="7">
        <f>P10*N10</f>
        <v>0</v>
      </c>
      <c r="R10" s="6"/>
    </row>
    <row r="11" spans="1:18" x14ac:dyDescent="0.25">
      <c r="A11" s="1"/>
      <c r="B11" s="9">
        <f t="shared" si="0"/>
        <v>6</v>
      </c>
      <c r="C11" s="15" t="s">
        <v>5</v>
      </c>
      <c r="D11" s="12" t="s">
        <v>17</v>
      </c>
      <c r="E11" s="12" t="s">
        <v>37</v>
      </c>
      <c r="F11" s="12" t="s">
        <v>55</v>
      </c>
      <c r="G11" s="12" t="s">
        <v>69</v>
      </c>
      <c r="H11" s="12" t="s">
        <v>83</v>
      </c>
      <c r="I11" s="12"/>
      <c r="J11" s="12" t="s">
        <v>95</v>
      </c>
      <c r="K11" s="12" t="s">
        <v>126</v>
      </c>
      <c r="L11" s="12">
        <v>2</v>
      </c>
      <c r="M11" s="12">
        <f t="shared" ref="M11" si="5">L11*5</f>
        <v>10</v>
      </c>
      <c r="N11" s="12"/>
      <c r="O11" s="12"/>
      <c r="P11" s="13"/>
      <c r="Q11" s="13">
        <f t="shared" ref="Q11" si="6">P11*N11</f>
        <v>0</v>
      </c>
      <c r="R11" s="12"/>
    </row>
    <row r="12" spans="1:18" ht="24" x14ac:dyDescent="0.25">
      <c r="A12" s="1"/>
      <c r="B12" s="8">
        <f>ROW(B12) - ROW($B$5)</f>
        <v>7</v>
      </c>
      <c r="C12" s="15" t="s">
        <v>5</v>
      </c>
      <c r="D12" s="6" t="s">
        <v>18</v>
      </c>
      <c r="E12" s="6" t="s">
        <v>38</v>
      </c>
      <c r="F12" s="6" t="s">
        <v>56</v>
      </c>
      <c r="G12" s="6" t="s">
        <v>70</v>
      </c>
      <c r="H12" s="6" t="s">
        <v>84</v>
      </c>
      <c r="I12" s="6"/>
      <c r="J12" s="6" t="s">
        <v>96</v>
      </c>
      <c r="K12" s="6" t="s">
        <v>126</v>
      </c>
      <c r="L12" s="6">
        <v>2</v>
      </c>
      <c r="M12" s="6">
        <f>L12*5</f>
        <v>10</v>
      </c>
      <c r="N12" s="6"/>
      <c r="O12" s="6"/>
      <c r="P12" s="7"/>
      <c r="Q12" s="7">
        <f>P12*N12</f>
        <v>0</v>
      </c>
      <c r="R12" s="6"/>
    </row>
    <row r="13" spans="1:18" x14ac:dyDescent="0.25">
      <c r="A13" s="1"/>
      <c r="B13" s="9">
        <f t="shared" si="0"/>
        <v>8</v>
      </c>
      <c r="C13" s="15" t="s">
        <v>6</v>
      </c>
      <c r="D13" s="12" t="s">
        <v>19</v>
      </c>
      <c r="E13" s="12" t="s">
        <v>39</v>
      </c>
      <c r="F13" s="12" t="s">
        <v>57</v>
      </c>
      <c r="G13" s="12">
        <v>742792641</v>
      </c>
      <c r="H13" s="12" t="s">
        <v>85</v>
      </c>
      <c r="I13" s="12"/>
      <c r="J13" s="12" t="s">
        <v>97</v>
      </c>
      <c r="K13" s="6" t="s">
        <v>126</v>
      </c>
      <c r="L13" s="12">
        <v>1</v>
      </c>
      <c r="M13" s="12">
        <f t="shared" ref="M13" si="7">L13*5</f>
        <v>5</v>
      </c>
      <c r="N13" s="12"/>
      <c r="O13" s="12"/>
      <c r="P13" s="13"/>
      <c r="Q13" s="13">
        <f t="shared" ref="Q13" si="8">P13*N13</f>
        <v>0</v>
      </c>
      <c r="R13" s="12"/>
    </row>
    <row r="14" spans="1:18" ht="36" x14ac:dyDescent="0.25">
      <c r="A14" s="1"/>
      <c r="B14" s="8">
        <f>ROW(B14) - ROW($B$5)</f>
        <v>9</v>
      </c>
      <c r="C14" s="14" t="s">
        <v>7</v>
      </c>
      <c r="D14" s="6" t="s">
        <v>20</v>
      </c>
      <c r="E14" s="6" t="s">
        <v>40</v>
      </c>
      <c r="F14" s="6" t="s">
        <v>58</v>
      </c>
      <c r="G14" s="6" t="s">
        <v>58</v>
      </c>
      <c r="H14" s="6" t="s">
        <v>86</v>
      </c>
      <c r="I14" s="6"/>
      <c r="J14" s="6"/>
      <c r="K14" s="6" t="s">
        <v>126</v>
      </c>
      <c r="L14" s="6">
        <v>1</v>
      </c>
      <c r="M14" s="6">
        <f>L14*5</f>
        <v>5</v>
      </c>
      <c r="N14" s="6"/>
      <c r="O14" s="6"/>
      <c r="P14" s="7"/>
      <c r="Q14" s="7">
        <f>P14*N14</f>
        <v>0</v>
      </c>
      <c r="R14" s="6"/>
    </row>
    <row r="15" spans="1:18" x14ac:dyDescent="0.25">
      <c r="A15" s="1"/>
      <c r="B15" s="9">
        <f t="shared" si="0"/>
        <v>10</v>
      </c>
      <c r="C15" s="15" t="s">
        <v>8</v>
      </c>
      <c r="D15" s="12" t="s">
        <v>21</v>
      </c>
      <c r="E15" s="12" t="s">
        <v>41</v>
      </c>
      <c r="F15" s="12" t="s">
        <v>59</v>
      </c>
      <c r="G15" s="12" t="s">
        <v>71</v>
      </c>
      <c r="H15" s="12" t="s">
        <v>87</v>
      </c>
      <c r="I15" s="12"/>
      <c r="J15" s="12" t="s">
        <v>98</v>
      </c>
      <c r="K15" s="6" t="s">
        <v>126</v>
      </c>
      <c r="L15" s="12">
        <v>2</v>
      </c>
      <c r="M15" s="12">
        <f t="shared" ref="M15" si="9">L15*5</f>
        <v>10</v>
      </c>
      <c r="N15" s="12"/>
      <c r="O15" s="12"/>
      <c r="P15" s="13"/>
      <c r="Q15" s="13">
        <f t="shared" ref="Q15" si="10">P15*N15</f>
        <v>0</v>
      </c>
      <c r="R15" s="12"/>
    </row>
    <row r="16" spans="1:18" ht="48" x14ac:dyDescent="0.25">
      <c r="A16" s="1"/>
      <c r="B16" s="8">
        <f>ROW(B16) - ROW($B$5)</f>
        <v>11</v>
      </c>
      <c r="C16" s="14" t="s">
        <v>9</v>
      </c>
      <c r="D16" s="6" t="s">
        <v>22</v>
      </c>
      <c r="E16" s="6" t="s">
        <v>42</v>
      </c>
      <c r="F16" s="6" t="s">
        <v>60</v>
      </c>
      <c r="G16" s="6" t="s">
        <v>72</v>
      </c>
      <c r="H16" s="6" t="s">
        <v>82</v>
      </c>
      <c r="I16" s="6"/>
      <c r="J16" s="6" t="s">
        <v>99</v>
      </c>
      <c r="K16" s="6" t="s">
        <v>111</v>
      </c>
      <c r="L16" s="6">
        <v>21</v>
      </c>
      <c r="M16" s="6">
        <f>L16*5</f>
        <v>105</v>
      </c>
      <c r="N16" s="6"/>
      <c r="O16" s="6"/>
      <c r="P16" s="7"/>
      <c r="Q16" s="7">
        <f>P16*N16</f>
        <v>0</v>
      </c>
      <c r="R16" s="6"/>
    </row>
    <row r="17" spans="1:18" x14ac:dyDescent="0.25">
      <c r="A17" s="1"/>
      <c r="B17" s="9">
        <f t="shared" si="0"/>
        <v>12</v>
      </c>
      <c r="C17" s="15" t="s">
        <v>10</v>
      </c>
      <c r="D17" s="12" t="s">
        <v>23</v>
      </c>
      <c r="E17" s="12" t="s">
        <v>43</v>
      </c>
      <c r="F17" s="12" t="s">
        <v>60</v>
      </c>
      <c r="G17" s="12" t="s">
        <v>73</v>
      </c>
      <c r="H17" s="12" t="s">
        <v>82</v>
      </c>
      <c r="I17" s="12"/>
      <c r="J17" s="12" t="s">
        <v>100</v>
      </c>
      <c r="K17" s="12" t="s">
        <v>112</v>
      </c>
      <c r="L17" s="12">
        <v>2</v>
      </c>
      <c r="M17" s="12">
        <f t="shared" ref="M17" si="11">L17*5</f>
        <v>10</v>
      </c>
      <c r="N17" s="12"/>
      <c r="O17" s="12"/>
      <c r="P17" s="13"/>
      <c r="Q17" s="13">
        <f t="shared" ref="Q17" si="12">P17*N17</f>
        <v>0</v>
      </c>
      <c r="R17" s="12"/>
    </row>
    <row r="18" spans="1:18" x14ac:dyDescent="0.25">
      <c r="A18" s="1"/>
      <c r="B18" s="8">
        <f>ROW(B18) - ROW($B$5)</f>
        <v>13</v>
      </c>
      <c r="C18" s="14" t="s">
        <v>9</v>
      </c>
      <c r="D18" s="6" t="s">
        <v>24</v>
      </c>
      <c r="E18" s="6" t="s">
        <v>44</v>
      </c>
      <c r="F18" s="6" t="s">
        <v>60</v>
      </c>
      <c r="G18" s="6" t="s">
        <v>74</v>
      </c>
      <c r="H18" s="6" t="s">
        <v>82</v>
      </c>
      <c r="I18" s="6"/>
      <c r="J18" s="6" t="s">
        <v>101</v>
      </c>
      <c r="K18" s="6" t="s">
        <v>113</v>
      </c>
      <c r="L18" s="6">
        <v>1</v>
      </c>
      <c r="M18" s="6">
        <f>L18*5</f>
        <v>5</v>
      </c>
      <c r="N18" s="6"/>
      <c r="O18" s="6"/>
      <c r="P18" s="7"/>
      <c r="Q18" s="7">
        <f>P18*N18</f>
        <v>0</v>
      </c>
      <c r="R18" s="6"/>
    </row>
    <row r="19" spans="1:18" x14ac:dyDescent="0.25">
      <c r="A19" s="1"/>
      <c r="B19" s="9">
        <f t="shared" si="0"/>
        <v>14</v>
      </c>
      <c r="C19" s="15" t="s">
        <v>9</v>
      </c>
      <c r="D19" s="12" t="s">
        <v>25</v>
      </c>
      <c r="E19" s="12" t="s">
        <v>45</v>
      </c>
      <c r="F19" s="12" t="s">
        <v>61</v>
      </c>
      <c r="G19" s="12" t="s">
        <v>75</v>
      </c>
      <c r="H19" s="12" t="s">
        <v>82</v>
      </c>
      <c r="I19" s="12"/>
      <c r="J19" s="12" t="s">
        <v>102</v>
      </c>
      <c r="K19" s="12" t="s">
        <v>114</v>
      </c>
      <c r="L19" s="12">
        <v>2</v>
      </c>
      <c r="M19" s="12">
        <f t="shared" ref="M19" si="13">L19*5</f>
        <v>10</v>
      </c>
      <c r="N19" s="12"/>
      <c r="O19" s="12"/>
      <c r="P19" s="13"/>
      <c r="Q19" s="13">
        <f t="shared" ref="Q19" si="14">P19*N19</f>
        <v>0</v>
      </c>
      <c r="R19" s="12"/>
    </row>
    <row r="20" spans="1:18" ht="36" x14ac:dyDescent="0.25">
      <c r="A20" s="1"/>
      <c r="B20" s="8">
        <f>ROW(B20) - ROW($B$5)</f>
        <v>15</v>
      </c>
      <c r="C20" s="14" t="s">
        <v>10</v>
      </c>
      <c r="D20" s="16" t="s">
        <v>26</v>
      </c>
      <c r="E20" s="16" t="s">
        <v>46</v>
      </c>
      <c r="F20" s="16" t="s">
        <v>60</v>
      </c>
      <c r="G20" s="16" t="s">
        <v>76</v>
      </c>
      <c r="H20" s="16" t="s">
        <v>88</v>
      </c>
      <c r="I20" s="16" t="s">
        <v>126</v>
      </c>
      <c r="J20" s="16" t="s">
        <v>103</v>
      </c>
      <c r="K20" s="16" t="s">
        <v>115</v>
      </c>
      <c r="L20" s="16">
        <v>1</v>
      </c>
      <c r="M20" s="16">
        <f>L20*5</f>
        <v>5</v>
      </c>
      <c r="N20" s="16" t="s">
        <v>126</v>
      </c>
      <c r="O20" s="16" t="s">
        <v>126</v>
      </c>
      <c r="P20" s="17" t="s">
        <v>126</v>
      </c>
      <c r="Q20" s="17" t="s">
        <v>126</v>
      </c>
      <c r="R20" s="19" t="s">
        <v>127</v>
      </c>
    </row>
    <row r="21" spans="1:18" x14ac:dyDescent="0.25">
      <c r="A21" s="1"/>
      <c r="B21" s="9">
        <f t="shared" si="0"/>
        <v>16</v>
      </c>
      <c r="C21" s="15" t="s">
        <v>9</v>
      </c>
      <c r="D21" s="18" t="s">
        <v>27</v>
      </c>
      <c r="E21" s="18" t="s">
        <v>47</v>
      </c>
      <c r="F21" s="18" t="s">
        <v>60</v>
      </c>
      <c r="G21" s="18" t="s">
        <v>77</v>
      </c>
      <c r="H21" s="18" t="s">
        <v>82</v>
      </c>
      <c r="I21" s="18" t="s">
        <v>126</v>
      </c>
      <c r="J21" s="18" t="s">
        <v>104</v>
      </c>
      <c r="K21" s="18" t="s">
        <v>115</v>
      </c>
      <c r="L21" s="18">
        <v>1</v>
      </c>
      <c r="M21" s="18">
        <f t="shared" ref="M21" si="15">L21*5</f>
        <v>5</v>
      </c>
      <c r="N21" s="16" t="s">
        <v>126</v>
      </c>
      <c r="O21" s="16" t="s">
        <v>126</v>
      </c>
      <c r="P21" s="17" t="s">
        <v>126</v>
      </c>
      <c r="Q21" s="17" t="s">
        <v>126</v>
      </c>
      <c r="R21" s="19" t="s">
        <v>127</v>
      </c>
    </row>
    <row r="22" spans="1:18" x14ac:dyDescent="0.25">
      <c r="A22" s="1"/>
      <c r="B22" s="8">
        <f>ROW(B22) - ROW($B$5)</f>
        <v>17</v>
      </c>
      <c r="C22" s="14" t="s">
        <v>10</v>
      </c>
      <c r="D22" s="6" t="s">
        <v>28</v>
      </c>
      <c r="E22" s="6" t="s">
        <v>48</v>
      </c>
      <c r="F22" s="6" t="s">
        <v>60</v>
      </c>
      <c r="G22" s="6" t="s">
        <v>78</v>
      </c>
      <c r="H22" s="6" t="s">
        <v>82</v>
      </c>
      <c r="I22" s="6"/>
      <c r="J22" s="6" t="s">
        <v>105</v>
      </c>
      <c r="K22" s="6" t="s">
        <v>116</v>
      </c>
      <c r="L22" s="6">
        <v>1</v>
      </c>
      <c r="M22" s="6">
        <f>L22*5</f>
        <v>5</v>
      </c>
      <c r="N22" s="6"/>
      <c r="O22" s="6"/>
      <c r="P22" s="7"/>
      <c r="Q22" s="7">
        <f>P22*N22</f>
        <v>0</v>
      </c>
      <c r="R22" s="6"/>
    </row>
    <row r="23" spans="1:18" x14ac:dyDescent="0.25">
      <c r="A23" s="1"/>
      <c r="B23" s="9">
        <f t="shared" si="0"/>
        <v>18</v>
      </c>
      <c r="C23" s="15" t="s">
        <v>10</v>
      </c>
      <c r="D23" s="12" t="s">
        <v>29</v>
      </c>
      <c r="E23" s="12" t="s">
        <v>49</v>
      </c>
      <c r="F23" s="12" t="s">
        <v>60</v>
      </c>
      <c r="G23" s="12" t="s">
        <v>79</v>
      </c>
      <c r="H23" s="12" t="s">
        <v>82</v>
      </c>
      <c r="I23" s="12"/>
      <c r="J23" s="12" t="s">
        <v>106</v>
      </c>
      <c r="K23" s="12" t="s">
        <v>117</v>
      </c>
      <c r="L23" s="12">
        <v>4</v>
      </c>
      <c r="M23" s="12">
        <f t="shared" ref="M23" si="16">L23*5</f>
        <v>20</v>
      </c>
      <c r="N23" s="12"/>
      <c r="O23" s="12"/>
      <c r="P23" s="13"/>
      <c r="Q23" s="13">
        <f t="shared" ref="Q23" si="17">P23*N23</f>
        <v>0</v>
      </c>
      <c r="R23" s="12"/>
    </row>
    <row r="24" spans="1:18" ht="15.75" thickBot="1" x14ac:dyDescent="0.3">
      <c r="A24" s="1"/>
      <c r="B24" s="8">
        <f>ROW(B24) - ROW($B$5)</f>
        <v>19</v>
      </c>
      <c r="C24" s="14" t="s">
        <v>8</v>
      </c>
      <c r="D24" s="6" t="s">
        <v>30</v>
      </c>
      <c r="E24" s="6" t="s">
        <v>50</v>
      </c>
      <c r="F24" s="6" t="s">
        <v>62</v>
      </c>
      <c r="G24" s="6" t="s">
        <v>80</v>
      </c>
      <c r="H24" s="6" t="s">
        <v>87</v>
      </c>
      <c r="I24" s="6"/>
      <c r="J24" s="6"/>
      <c r="K24" s="6" t="s">
        <v>126</v>
      </c>
      <c r="L24" s="6">
        <v>1</v>
      </c>
      <c r="M24" s="6">
        <f>L24*5</f>
        <v>5</v>
      </c>
      <c r="N24" s="6"/>
      <c r="O24" s="6"/>
      <c r="P24" s="7"/>
      <c r="Q24" s="7">
        <f>P24*N24</f>
        <v>0</v>
      </c>
      <c r="R24" s="6"/>
    </row>
    <row r="25" spans="1:18" ht="19.5" thickBo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24" t="s">
        <v>1</v>
      </c>
      <c r="O25" s="25"/>
      <c r="P25" s="25"/>
      <c r="Q25" s="10" t="e">
        <f>SUM(#REF!)</f>
        <v>#REF!</v>
      </c>
      <c r="R25" s="1"/>
    </row>
    <row r="26" spans="1:18" ht="19.5" thickBo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24" t="s">
        <v>2</v>
      </c>
      <c r="O26" s="25"/>
      <c r="P26" s="25"/>
      <c r="Q26" s="11" t="e">
        <f>Q25/5</f>
        <v>#REF!</v>
      </c>
      <c r="R26" s="1"/>
    </row>
    <row r="30" spans="1:18" x14ac:dyDescent="0.25">
      <c r="A30" s="1"/>
      <c r="B30" s="3"/>
      <c r="C30" s="3"/>
      <c r="D30" s="2"/>
      <c r="E30" s="2"/>
      <c r="F30" s="2"/>
      <c r="G30" s="2"/>
      <c r="H30" s="2"/>
      <c r="I30" s="2"/>
      <c r="J30" s="2"/>
      <c r="K30" s="22"/>
      <c r="L30" s="22"/>
      <c r="M30" s="22"/>
      <c r="N30" s="22"/>
      <c r="O30" s="22"/>
      <c r="P30" s="22"/>
      <c r="Q30" s="22"/>
      <c r="R30" s="22"/>
    </row>
    <row r="31" spans="1:18" x14ac:dyDescent="0.25">
      <c r="A31" s="1"/>
      <c r="B31" s="3"/>
      <c r="C31" s="3"/>
      <c r="D31" s="20"/>
      <c r="E31" s="20"/>
      <c r="F31" s="20"/>
      <c r="G31" s="20"/>
      <c r="H31" s="20"/>
      <c r="I31" s="20"/>
      <c r="J31" s="20"/>
      <c r="K31" s="21"/>
      <c r="L31" s="21"/>
      <c r="M31" s="21"/>
      <c r="N31" s="21"/>
      <c r="O31" s="21"/>
      <c r="P31" s="21"/>
      <c r="Q31" s="21"/>
      <c r="R31" s="21"/>
    </row>
    <row r="32" spans="1:18" ht="18" x14ac:dyDescent="0.25">
      <c r="A32" s="1"/>
      <c r="B32" s="3"/>
      <c r="C32" s="3"/>
      <c r="D32" s="20"/>
      <c r="E32" s="20"/>
      <c r="F32" s="20"/>
      <c r="G32" s="23" t="s">
        <v>130</v>
      </c>
      <c r="H32" s="23"/>
      <c r="I32" s="23"/>
      <c r="J32" s="20"/>
      <c r="K32" s="21"/>
      <c r="L32" s="21"/>
      <c r="M32" s="21"/>
      <c r="N32" s="21"/>
      <c r="O32" s="21"/>
      <c r="P32" s="21"/>
      <c r="Q32" s="21"/>
      <c r="R32" s="21"/>
    </row>
    <row r="33" spans="1:18" ht="15.75" thickBot="1" x14ac:dyDescent="0.3">
      <c r="A33" s="1"/>
      <c r="B33" s="3"/>
      <c r="C33" s="3"/>
      <c r="D33" s="20"/>
      <c r="E33" s="20"/>
      <c r="F33" s="20"/>
      <c r="G33" s="20"/>
      <c r="H33" s="20"/>
      <c r="I33" s="20"/>
      <c r="J33" s="20"/>
      <c r="K33" s="21"/>
      <c r="L33" s="21"/>
      <c r="M33" s="21"/>
      <c r="N33" s="21"/>
      <c r="O33" s="21"/>
      <c r="P33" s="21"/>
      <c r="Q33" s="21"/>
      <c r="R33" s="21"/>
    </row>
    <row r="34" spans="1:18" ht="15.75" thickBot="1" x14ac:dyDescent="0.3">
      <c r="A34" s="1"/>
      <c r="B34" s="5" t="s">
        <v>0</v>
      </c>
      <c r="C34" s="5" t="s">
        <v>3</v>
      </c>
      <c r="D34" s="5" t="s">
        <v>11</v>
      </c>
      <c r="E34" s="5" t="s">
        <v>31</v>
      </c>
      <c r="F34" s="5" t="s">
        <v>51</v>
      </c>
      <c r="G34" s="5" t="s">
        <v>63</v>
      </c>
      <c r="H34" s="5" t="s">
        <v>81</v>
      </c>
      <c r="I34" s="5" t="s">
        <v>128</v>
      </c>
      <c r="J34" s="5" t="s">
        <v>89</v>
      </c>
      <c r="K34" s="5" t="s">
        <v>120</v>
      </c>
      <c r="L34" s="5" t="s">
        <v>118</v>
      </c>
      <c r="M34" s="5" t="s">
        <v>119</v>
      </c>
      <c r="N34" s="5" t="s">
        <v>121</v>
      </c>
      <c r="O34" s="5" t="s">
        <v>122</v>
      </c>
      <c r="P34" s="5" t="s">
        <v>123</v>
      </c>
      <c r="Q34" s="5" t="s">
        <v>124</v>
      </c>
      <c r="R34" s="5" t="s">
        <v>125</v>
      </c>
    </row>
    <row r="35" spans="1:18" x14ac:dyDescent="0.25">
      <c r="A35" s="1"/>
      <c r="B35" s="8">
        <v>1</v>
      </c>
      <c r="C35" s="14" t="s">
        <v>4</v>
      </c>
      <c r="D35" s="6" t="s">
        <v>131</v>
      </c>
      <c r="E35" s="6" t="s">
        <v>35</v>
      </c>
      <c r="F35" s="6" t="s">
        <v>54</v>
      </c>
      <c r="G35" s="6" t="s">
        <v>67</v>
      </c>
      <c r="H35" s="6" t="s">
        <v>82</v>
      </c>
      <c r="I35" s="6"/>
      <c r="J35" s="6" t="s">
        <v>93</v>
      </c>
      <c r="K35" s="6" t="s">
        <v>110</v>
      </c>
      <c r="L35" s="6">
        <v>5</v>
      </c>
      <c r="M35" s="6"/>
      <c r="N35" s="6"/>
      <c r="O35" s="6"/>
      <c r="P35" s="7"/>
      <c r="Q35" s="7">
        <f>P35*N35</f>
        <v>0</v>
      </c>
      <c r="R35" s="6"/>
    </row>
    <row r="36" spans="1:18" ht="48" x14ac:dyDescent="0.25">
      <c r="A36" s="1"/>
      <c r="B36" s="9">
        <v>2</v>
      </c>
      <c r="C36" s="14" t="s">
        <v>4</v>
      </c>
      <c r="D36" s="12" t="s">
        <v>132</v>
      </c>
      <c r="E36" s="12" t="s">
        <v>36</v>
      </c>
      <c r="F36" s="12" t="s">
        <v>54</v>
      </c>
      <c r="G36" s="12" t="s">
        <v>68</v>
      </c>
      <c r="H36" s="12" t="s">
        <v>82</v>
      </c>
      <c r="I36" s="12"/>
      <c r="J36" s="12" t="s">
        <v>94</v>
      </c>
      <c r="K36" s="12" t="s">
        <v>108</v>
      </c>
      <c r="L36" s="12">
        <v>22</v>
      </c>
      <c r="M36" s="12"/>
      <c r="N36" s="12"/>
      <c r="O36" s="12"/>
      <c r="P36" s="13"/>
      <c r="Q36" s="13">
        <f t="shared" ref="Q36" si="18">P36*N36</f>
        <v>0</v>
      </c>
      <c r="R36" s="12"/>
    </row>
    <row r="37" spans="1:18" x14ac:dyDescent="0.25">
      <c r="A37" s="1"/>
      <c r="B37" s="8">
        <v>3</v>
      </c>
      <c r="C37" s="14" t="s">
        <v>4</v>
      </c>
      <c r="D37" s="6" t="s">
        <v>133</v>
      </c>
      <c r="E37" s="6" t="s">
        <v>134</v>
      </c>
      <c r="F37" s="6" t="s">
        <v>54</v>
      </c>
      <c r="G37" s="6" t="s">
        <v>135</v>
      </c>
      <c r="H37" s="6" t="s">
        <v>82</v>
      </c>
      <c r="I37" s="6"/>
      <c r="J37" s="6" t="s">
        <v>174</v>
      </c>
      <c r="K37" s="6" t="s">
        <v>175</v>
      </c>
      <c r="L37" s="6">
        <v>2</v>
      </c>
      <c r="M37" s="6"/>
      <c r="N37" s="6"/>
      <c r="O37" s="6"/>
      <c r="P37" s="7"/>
      <c r="Q37" s="7">
        <f>P37*N37</f>
        <v>0</v>
      </c>
      <c r="R37" s="6"/>
    </row>
    <row r="38" spans="1:18" ht="36" x14ac:dyDescent="0.25">
      <c r="A38" s="1"/>
      <c r="B38" s="8">
        <v>4</v>
      </c>
      <c r="C38" s="15" t="s">
        <v>5</v>
      </c>
      <c r="D38" s="12" t="s">
        <v>136</v>
      </c>
      <c r="E38" s="12" t="s">
        <v>137</v>
      </c>
      <c r="F38" s="12" t="s">
        <v>138</v>
      </c>
      <c r="G38" s="12" t="s">
        <v>139</v>
      </c>
      <c r="H38" s="12" t="s">
        <v>140</v>
      </c>
      <c r="I38" s="12"/>
      <c r="J38" s="12" t="s">
        <v>176</v>
      </c>
      <c r="K38" s="12"/>
      <c r="L38" s="12">
        <v>1</v>
      </c>
      <c r="M38" s="12"/>
      <c r="N38" s="12"/>
      <c r="O38" s="12"/>
      <c r="P38" s="13"/>
      <c r="Q38" s="13">
        <f t="shared" ref="Q38" si="19">P38*N38</f>
        <v>0</v>
      </c>
      <c r="R38" s="12"/>
    </row>
    <row r="39" spans="1:18" ht="24" x14ac:dyDescent="0.25">
      <c r="A39" s="1"/>
      <c r="B39" s="8">
        <v>5</v>
      </c>
      <c r="C39" s="14" t="s">
        <v>6</v>
      </c>
      <c r="D39" s="6" t="s">
        <v>141</v>
      </c>
      <c r="E39" s="6" t="s">
        <v>142</v>
      </c>
      <c r="F39" s="6" t="s">
        <v>57</v>
      </c>
      <c r="G39" s="6" t="s">
        <v>143</v>
      </c>
      <c r="H39" s="6" t="s">
        <v>144</v>
      </c>
      <c r="I39" s="6"/>
      <c r="J39" s="6" t="s">
        <v>177</v>
      </c>
      <c r="K39" s="6" t="s">
        <v>178</v>
      </c>
      <c r="L39" s="6">
        <v>2</v>
      </c>
      <c r="M39" s="6"/>
      <c r="N39" s="6"/>
      <c r="O39" s="6"/>
      <c r="P39" s="7"/>
      <c r="Q39" s="7">
        <f>P39*N39</f>
        <v>0</v>
      </c>
      <c r="R39" s="6"/>
    </row>
    <row r="40" spans="1:18" x14ac:dyDescent="0.25">
      <c r="A40" s="1"/>
      <c r="B40" s="8">
        <v>6</v>
      </c>
      <c r="C40" s="15" t="s">
        <v>6</v>
      </c>
      <c r="D40" s="12" t="s">
        <v>145</v>
      </c>
      <c r="E40" s="12" t="s">
        <v>39</v>
      </c>
      <c r="F40" s="12" t="s">
        <v>57</v>
      </c>
      <c r="G40" s="12">
        <v>742792641</v>
      </c>
      <c r="H40" s="12" t="s">
        <v>85</v>
      </c>
      <c r="I40" s="12"/>
      <c r="J40" s="12" t="s">
        <v>97</v>
      </c>
      <c r="K40" s="12"/>
      <c r="L40" s="12">
        <v>2</v>
      </c>
      <c r="M40" s="12"/>
      <c r="N40" s="12"/>
      <c r="O40" s="12"/>
      <c r="P40" s="13"/>
      <c r="Q40" s="13">
        <f t="shared" ref="Q40" si="20">P40*N40</f>
        <v>0</v>
      </c>
      <c r="R40" s="12"/>
    </row>
    <row r="41" spans="1:18" x14ac:dyDescent="0.25">
      <c r="A41" s="1"/>
      <c r="B41" s="8">
        <v>7</v>
      </c>
      <c r="C41" s="14" t="s">
        <v>10</v>
      </c>
      <c r="D41" s="6" t="s">
        <v>146</v>
      </c>
      <c r="E41" s="6" t="s">
        <v>147</v>
      </c>
      <c r="F41" s="6" t="s">
        <v>60</v>
      </c>
      <c r="G41" s="6" t="s">
        <v>148</v>
      </c>
      <c r="H41" s="6" t="s">
        <v>82</v>
      </c>
      <c r="I41" s="6"/>
      <c r="J41" s="6" t="s">
        <v>179</v>
      </c>
      <c r="K41" s="6" t="s">
        <v>180</v>
      </c>
      <c r="L41" s="6">
        <v>1</v>
      </c>
      <c r="M41" s="6"/>
      <c r="N41" s="6"/>
      <c r="O41" s="6"/>
      <c r="P41" s="7"/>
      <c r="Q41" s="7">
        <f>P41*N41</f>
        <v>0</v>
      </c>
      <c r="R41" s="6"/>
    </row>
    <row r="42" spans="1:18" ht="24" x14ac:dyDescent="0.25">
      <c r="A42" s="1"/>
      <c r="B42" s="8">
        <v>8</v>
      </c>
      <c r="C42" s="15" t="s">
        <v>10</v>
      </c>
      <c r="D42" s="12" t="s">
        <v>149</v>
      </c>
      <c r="E42" s="12" t="s">
        <v>150</v>
      </c>
      <c r="F42" s="12" t="s">
        <v>60</v>
      </c>
      <c r="G42" s="12" t="s">
        <v>151</v>
      </c>
      <c r="H42" s="12" t="s">
        <v>82</v>
      </c>
      <c r="I42" s="12"/>
      <c r="J42" s="12" t="s">
        <v>181</v>
      </c>
      <c r="K42" s="12" t="s">
        <v>182</v>
      </c>
      <c r="L42" s="12">
        <v>8</v>
      </c>
      <c r="M42" s="12"/>
      <c r="N42" s="12"/>
      <c r="O42" s="12"/>
      <c r="P42" s="13"/>
      <c r="Q42" s="13">
        <f t="shared" ref="Q42" si="21">P42*N42</f>
        <v>0</v>
      </c>
      <c r="R42" s="12"/>
    </row>
    <row r="43" spans="1:18" x14ac:dyDescent="0.25">
      <c r="A43" s="1"/>
      <c r="B43" s="8">
        <v>9</v>
      </c>
      <c r="C43" s="14" t="s">
        <v>10</v>
      </c>
      <c r="D43" s="6" t="s">
        <v>152</v>
      </c>
      <c r="E43" s="6" t="s">
        <v>153</v>
      </c>
      <c r="F43" s="6" t="s">
        <v>60</v>
      </c>
      <c r="G43" s="6" t="s">
        <v>154</v>
      </c>
      <c r="H43" s="6" t="s">
        <v>82</v>
      </c>
      <c r="I43" s="6"/>
      <c r="J43" s="6" t="s">
        <v>183</v>
      </c>
      <c r="K43" s="6" t="s">
        <v>184</v>
      </c>
      <c r="L43" s="6">
        <v>1</v>
      </c>
      <c r="M43" s="6"/>
      <c r="N43" s="6"/>
      <c r="O43" s="6"/>
      <c r="P43" s="7"/>
      <c r="Q43" s="7">
        <f>P43*N43</f>
        <v>0</v>
      </c>
      <c r="R43" s="6"/>
    </row>
    <row r="44" spans="1:18" x14ac:dyDescent="0.25">
      <c r="A44" s="1"/>
      <c r="B44" s="8">
        <v>10</v>
      </c>
      <c r="C44" s="15" t="s">
        <v>9</v>
      </c>
      <c r="D44" s="12" t="s">
        <v>155</v>
      </c>
      <c r="E44" s="12" t="s">
        <v>156</v>
      </c>
      <c r="F44" s="12" t="s">
        <v>60</v>
      </c>
      <c r="G44" s="12" t="s">
        <v>157</v>
      </c>
      <c r="H44" s="12" t="s">
        <v>82</v>
      </c>
      <c r="I44" s="12"/>
      <c r="J44" s="12" t="s">
        <v>185</v>
      </c>
      <c r="K44" s="12" t="s">
        <v>186</v>
      </c>
      <c r="L44" s="12">
        <v>1</v>
      </c>
      <c r="M44" s="12"/>
      <c r="N44" s="12"/>
      <c r="O44" s="12"/>
      <c r="P44" s="13"/>
      <c r="Q44" s="13">
        <f t="shared" ref="Q44" si="22">P44*N44</f>
        <v>0</v>
      </c>
      <c r="R44" s="12"/>
    </row>
    <row r="45" spans="1:18" x14ac:dyDescent="0.25">
      <c r="A45" s="1"/>
      <c r="B45" s="8">
        <v>11</v>
      </c>
      <c r="C45" s="14" t="s">
        <v>10</v>
      </c>
      <c r="D45" s="6" t="s">
        <v>158</v>
      </c>
      <c r="E45" s="6" t="s">
        <v>48</v>
      </c>
      <c r="F45" s="6" t="s">
        <v>60</v>
      </c>
      <c r="G45" s="6" t="s">
        <v>78</v>
      </c>
      <c r="H45" s="6" t="s">
        <v>82</v>
      </c>
      <c r="I45" s="6"/>
      <c r="J45" s="6" t="s">
        <v>105</v>
      </c>
      <c r="K45" s="6" t="s">
        <v>116</v>
      </c>
      <c r="L45" s="6">
        <v>5</v>
      </c>
      <c r="M45" s="6"/>
      <c r="N45" s="6"/>
      <c r="O45" s="6"/>
      <c r="P45" s="7"/>
      <c r="Q45" s="7">
        <f>P45*N45</f>
        <v>0</v>
      </c>
      <c r="R45" s="6"/>
    </row>
    <row r="46" spans="1:18" x14ac:dyDescent="0.25">
      <c r="A46" s="1"/>
      <c r="B46" s="8">
        <v>12</v>
      </c>
      <c r="C46" s="15" t="s">
        <v>9</v>
      </c>
      <c r="D46" s="12" t="s">
        <v>159</v>
      </c>
      <c r="E46" s="12" t="s">
        <v>42</v>
      </c>
      <c r="F46" s="12" t="s">
        <v>60</v>
      </c>
      <c r="G46" s="12" t="s">
        <v>72</v>
      </c>
      <c r="H46" s="12" t="s">
        <v>82</v>
      </c>
      <c r="I46" s="12"/>
      <c r="J46" s="12" t="s">
        <v>99</v>
      </c>
      <c r="K46" s="12" t="s">
        <v>111</v>
      </c>
      <c r="L46" s="12">
        <v>1</v>
      </c>
      <c r="M46" s="12"/>
      <c r="N46" s="12"/>
      <c r="O46" s="12"/>
      <c r="P46" s="13"/>
      <c r="Q46" s="13">
        <f t="shared" ref="Q46" si="23">P46*N46</f>
        <v>0</v>
      </c>
      <c r="R46" s="12"/>
    </row>
    <row r="47" spans="1:18" x14ac:dyDescent="0.25">
      <c r="A47" s="1"/>
      <c r="B47" s="8">
        <v>13</v>
      </c>
      <c r="C47" s="14" t="s">
        <v>10</v>
      </c>
      <c r="D47" s="16" t="s">
        <v>160</v>
      </c>
      <c r="E47" s="16" t="s">
        <v>48</v>
      </c>
      <c r="F47" s="16" t="s">
        <v>60</v>
      </c>
      <c r="G47" s="16" t="s">
        <v>78</v>
      </c>
      <c r="H47" s="16" t="s">
        <v>82</v>
      </c>
      <c r="I47" s="16" t="s">
        <v>126</v>
      </c>
      <c r="J47" s="16" t="s">
        <v>105</v>
      </c>
      <c r="K47" s="16" t="s">
        <v>115</v>
      </c>
      <c r="L47" s="16">
        <v>1</v>
      </c>
      <c r="M47" s="16"/>
      <c r="N47" s="16" t="s">
        <v>126</v>
      </c>
      <c r="O47" s="16" t="s">
        <v>126</v>
      </c>
      <c r="P47" s="17" t="s">
        <v>126</v>
      </c>
      <c r="Q47" s="17" t="s">
        <v>126</v>
      </c>
      <c r="R47" s="19" t="s">
        <v>127</v>
      </c>
    </row>
    <row r="48" spans="1:18" x14ac:dyDescent="0.25">
      <c r="A48" s="1"/>
      <c r="B48" s="8">
        <v>14</v>
      </c>
      <c r="C48" s="14" t="s">
        <v>10</v>
      </c>
      <c r="D48" s="12" t="s">
        <v>161</v>
      </c>
      <c r="E48" s="12" t="s">
        <v>162</v>
      </c>
      <c r="F48" s="12" t="s">
        <v>60</v>
      </c>
      <c r="G48" s="12" t="s">
        <v>163</v>
      </c>
      <c r="H48" s="12" t="s">
        <v>82</v>
      </c>
      <c r="I48" s="12"/>
      <c r="J48" s="12" t="s">
        <v>187</v>
      </c>
      <c r="K48" s="12" t="s">
        <v>188</v>
      </c>
      <c r="L48" s="12">
        <v>1</v>
      </c>
      <c r="M48" s="12"/>
      <c r="N48" s="12"/>
      <c r="O48" s="12"/>
      <c r="P48" s="13"/>
      <c r="Q48" s="13">
        <f t="shared" ref="Q48" si="24">P48*N48</f>
        <v>0</v>
      </c>
      <c r="R48" s="12"/>
    </row>
    <row r="49" spans="1:18" x14ac:dyDescent="0.25">
      <c r="A49" s="1"/>
      <c r="B49" s="8">
        <v>15</v>
      </c>
      <c r="C49" s="14" t="s">
        <v>8</v>
      </c>
      <c r="D49" s="6" t="s">
        <v>164</v>
      </c>
      <c r="E49" s="6" t="s">
        <v>165</v>
      </c>
      <c r="F49" s="6" t="s">
        <v>166</v>
      </c>
      <c r="G49" s="6" t="s">
        <v>167</v>
      </c>
      <c r="H49" s="6" t="s">
        <v>168</v>
      </c>
      <c r="I49" s="16"/>
      <c r="J49" s="6" t="s">
        <v>189</v>
      </c>
      <c r="K49" s="6" t="s">
        <v>126</v>
      </c>
      <c r="L49" s="6">
        <v>1</v>
      </c>
      <c r="M49" s="16"/>
      <c r="N49" s="16"/>
      <c r="O49" s="16"/>
      <c r="P49" s="17"/>
      <c r="Q49" s="17"/>
      <c r="R49" s="19"/>
    </row>
    <row r="50" spans="1:18" ht="15.75" thickBot="1" x14ac:dyDescent="0.3">
      <c r="A50" s="1"/>
      <c r="B50" s="8">
        <v>16</v>
      </c>
      <c r="C50" s="15" t="s">
        <v>169</v>
      </c>
      <c r="D50" s="12" t="s">
        <v>170</v>
      </c>
      <c r="E50" s="12" t="s">
        <v>171</v>
      </c>
      <c r="F50" s="12" t="s">
        <v>172</v>
      </c>
      <c r="G50" s="12" t="s">
        <v>172</v>
      </c>
      <c r="H50" s="12" t="s">
        <v>173</v>
      </c>
      <c r="I50" s="18"/>
      <c r="J50" s="12" t="s">
        <v>190</v>
      </c>
      <c r="K50" s="12" t="s">
        <v>191</v>
      </c>
      <c r="L50" s="12">
        <v>1</v>
      </c>
      <c r="M50" s="18"/>
      <c r="N50" s="16"/>
      <c r="O50" s="16"/>
      <c r="P50" s="17"/>
      <c r="Q50" s="17"/>
      <c r="R50" s="19"/>
    </row>
    <row r="51" spans="1:18" ht="19.5" thickBo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24" t="s">
        <v>1</v>
      </c>
      <c r="O51" s="25"/>
      <c r="P51" s="25"/>
      <c r="Q51" s="10" t="e">
        <f>SUM(#REF!)</f>
        <v>#REF!</v>
      </c>
      <c r="R51" s="1"/>
    </row>
    <row r="52" spans="1:18" ht="19.5" thickBo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4" t="s">
        <v>2</v>
      </c>
      <c r="O52" s="25"/>
      <c r="P52" s="25"/>
      <c r="Q52" s="11" t="e">
        <f>Q51/5</f>
        <v>#REF!</v>
      </c>
      <c r="R52" s="1"/>
    </row>
    <row r="56" spans="1:18" x14ac:dyDescent="0.25">
      <c r="A56" s="1"/>
      <c r="B56" s="3"/>
      <c r="C56" s="3"/>
      <c r="D56" s="2"/>
      <c r="E56" s="2"/>
      <c r="F56" s="2"/>
      <c r="G56" s="2"/>
      <c r="H56" s="2"/>
      <c r="I56" s="2"/>
      <c r="J56" s="2"/>
      <c r="K56" s="22"/>
      <c r="L56" s="22"/>
      <c r="M56" s="22"/>
      <c r="N56" s="22"/>
      <c r="O56" s="22"/>
      <c r="P56" s="22"/>
      <c r="Q56" s="22"/>
      <c r="R56" s="22"/>
    </row>
    <row r="57" spans="1:18" x14ac:dyDescent="0.25">
      <c r="A57" s="1"/>
      <c r="B57" s="3"/>
      <c r="C57" s="3"/>
      <c r="D57" s="20"/>
      <c r="E57" s="20"/>
      <c r="F57" s="20"/>
      <c r="G57" s="20"/>
      <c r="H57" s="20"/>
      <c r="I57" s="20"/>
      <c r="J57" s="20"/>
      <c r="K57" s="21"/>
      <c r="L57" s="21"/>
      <c r="M57" s="21"/>
      <c r="N57" s="21"/>
      <c r="O57" s="21"/>
      <c r="P57" s="21"/>
      <c r="Q57" s="21"/>
      <c r="R57" s="21"/>
    </row>
    <row r="58" spans="1:18" ht="18" x14ac:dyDescent="0.25">
      <c r="A58" s="1"/>
      <c r="B58" s="3"/>
      <c r="C58" s="3"/>
      <c r="D58" s="20"/>
      <c r="E58" s="20"/>
      <c r="F58" s="20"/>
      <c r="G58" s="23" t="s">
        <v>192</v>
      </c>
      <c r="H58" s="23"/>
      <c r="I58" s="23"/>
      <c r="J58" s="20"/>
      <c r="K58" s="21"/>
      <c r="L58" s="21"/>
      <c r="M58" s="21"/>
      <c r="N58" s="21"/>
      <c r="O58" s="21"/>
      <c r="P58" s="21"/>
      <c r="Q58" s="21"/>
      <c r="R58" s="21"/>
    </row>
    <row r="59" spans="1:18" ht="15.75" thickBot="1" x14ac:dyDescent="0.3">
      <c r="A59" s="1"/>
      <c r="B59" s="3"/>
      <c r="C59" s="3"/>
      <c r="D59" s="20"/>
      <c r="E59" s="20"/>
      <c r="F59" s="20"/>
      <c r="G59" s="20"/>
      <c r="H59" s="20"/>
      <c r="I59" s="20"/>
      <c r="J59" s="20"/>
      <c r="K59" s="21"/>
      <c r="L59" s="21"/>
      <c r="M59" s="21"/>
      <c r="N59" s="21"/>
      <c r="O59" s="21"/>
      <c r="P59" s="21"/>
      <c r="Q59" s="21"/>
      <c r="R59" s="21"/>
    </row>
    <row r="60" spans="1:18" ht="15.75" thickBot="1" x14ac:dyDescent="0.3">
      <c r="A60" s="1"/>
      <c r="B60" s="5" t="s">
        <v>0</v>
      </c>
      <c r="C60" s="5" t="s">
        <v>3</v>
      </c>
      <c r="D60" s="5" t="s">
        <v>11</v>
      </c>
      <c r="E60" s="5" t="s">
        <v>31</v>
      </c>
      <c r="F60" s="5" t="s">
        <v>51</v>
      </c>
      <c r="G60" s="5" t="s">
        <v>63</v>
      </c>
      <c r="H60" s="5" t="s">
        <v>81</v>
      </c>
      <c r="I60" s="5" t="s">
        <v>128</v>
      </c>
      <c r="J60" s="5" t="s">
        <v>89</v>
      </c>
      <c r="K60" s="5" t="s">
        <v>120</v>
      </c>
      <c r="L60" s="5" t="s">
        <v>118</v>
      </c>
      <c r="M60" s="5" t="s">
        <v>119</v>
      </c>
      <c r="N60" s="5" t="s">
        <v>121</v>
      </c>
      <c r="O60" s="5" t="s">
        <v>122</v>
      </c>
      <c r="P60" s="5" t="s">
        <v>123</v>
      </c>
      <c r="Q60" s="5" t="s">
        <v>124</v>
      </c>
      <c r="R60" s="5" t="s">
        <v>125</v>
      </c>
    </row>
    <row r="61" spans="1:18" x14ac:dyDescent="0.25">
      <c r="A61" s="1"/>
      <c r="B61" s="8">
        <v>1</v>
      </c>
      <c r="C61" s="14" t="s">
        <v>4</v>
      </c>
      <c r="D61" s="6" t="s">
        <v>193</v>
      </c>
      <c r="E61" s="6" t="s">
        <v>33</v>
      </c>
      <c r="F61" s="6" t="s">
        <v>53</v>
      </c>
      <c r="G61" s="6" t="s">
        <v>65</v>
      </c>
      <c r="H61" s="6" t="s">
        <v>82</v>
      </c>
      <c r="I61" s="6"/>
      <c r="J61" s="6" t="s">
        <v>91</v>
      </c>
      <c r="K61" s="6" t="s">
        <v>282</v>
      </c>
      <c r="L61" s="6">
        <v>2</v>
      </c>
      <c r="M61" s="6"/>
      <c r="N61" s="6"/>
      <c r="O61" s="6"/>
      <c r="P61" s="7"/>
      <c r="Q61" s="7">
        <f>P61*N61</f>
        <v>0</v>
      </c>
      <c r="R61" s="6"/>
    </row>
    <row r="62" spans="1:18" x14ac:dyDescent="0.25">
      <c r="A62" s="1"/>
      <c r="B62" s="9">
        <v>2</v>
      </c>
      <c r="C62" s="15" t="s">
        <v>4</v>
      </c>
      <c r="D62" s="12" t="s">
        <v>194</v>
      </c>
      <c r="E62" s="12" t="s">
        <v>32</v>
      </c>
      <c r="F62" s="12" t="s">
        <v>52</v>
      </c>
      <c r="G62" s="12" t="s">
        <v>64</v>
      </c>
      <c r="H62" s="12" t="s">
        <v>82</v>
      </c>
      <c r="I62" s="12"/>
      <c r="J62" s="12" t="s">
        <v>90</v>
      </c>
      <c r="K62" s="12" t="s">
        <v>107</v>
      </c>
      <c r="L62" s="12">
        <v>3</v>
      </c>
      <c r="M62" s="12"/>
      <c r="N62" s="12"/>
      <c r="O62" s="12"/>
      <c r="P62" s="13"/>
      <c r="Q62" s="13">
        <f t="shared" ref="Q62" si="25">P62*N62</f>
        <v>0</v>
      </c>
      <c r="R62" s="12"/>
    </row>
    <row r="63" spans="1:18" x14ac:dyDescent="0.25">
      <c r="A63" s="1"/>
      <c r="B63" s="8">
        <v>3</v>
      </c>
      <c r="C63" s="14" t="s">
        <v>4</v>
      </c>
      <c r="D63" s="6" t="s">
        <v>195</v>
      </c>
      <c r="E63" s="6" t="s">
        <v>196</v>
      </c>
      <c r="F63" s="6" t="s">
        <v>54</v>
      </c>
      <c r="G63" s="6" t="s">
        <v>197</v>
      </c>
      <c r="H63" s="6" t="s">
        <v>82</v>
      </c>
      <c r="I63" s="6"/>
      <c r="J63" s="6" t="s">
        <v>283</v>
      </c>
      <c r="K63" s="6" t="s">
        <v>109</v>
      </c>
      <c r="L63" s="6">
        <v>4</v>
      </c>
      <c r="M63" s="6"/>
      <c r="N63" s="6"/>
      <c r="O63" s="6"/>
      <c r="P63" s="7"/>
      <c r="Q63" s="7">
        <f>P63*N63</f>
        <v>0</v>
      </c>
      <c r="R63" s="6"/>
    </row>
    <row r="64" spans="1:18" x14ac:dyDescent="0.25">
      <c r="A64" s="1"/>
      <c r="B64" s="8">
        <v>4</v>
      </c>
      <c r="C64" s="15" t="s">
        <v>4</v>
      </c>
      <c r="D64" s="12" t="s">
        <v>198</v>
      </c>
      <c r="E64" s="12" t="s">
        <v>199</v>
      </c>
      <c r="F64" s="12" t="s">
        <v>200</v>
      </c>
      <c r="G64" s="12" t="s">
        <v>201</v>
      </c>
      <c r="H64" s="12" t="s">
        <v>202</v>
      </c>
      <c r="I64" s="12"/>
      <c r="J64" s="12" t="s">
        <v>284</v>
      </c>
      <c r="K64" s="12" t="s">
        <v>285</v>
      </c>
      <c r="L64" s="12">
        <v>1</v>
      </c>
      <c r="M64" s="12"/>
      <c r="N64" s="12"/>
      <c r="O64" s="12"/>
      <c r="P64" s="13"/>
      <c r="Q64" s="13">
        <f t="shared" ref="Q64" si="26">P64*N64</f>
        <v>0</v>
      </c>
      <c r="R64" s="12"/>
    </row>
    <row r="65" spans="1:18" x14ac:dyDescent="0.25">
      <c r="A65" s="1"/>
      <c r="B65" s="8">
        <v>5</v>
      </c>
      <c r="C65" s="14" t="s">
        <v>4</v>
      </c>
      <c r="D65" s="6" t="s">
        <v>203</v>
      </c>
      <c r="E65" s="6" t="s">
        <v>204</v>
      </c>
      <c r="F65" s="6" t="s">
        <v>53</v>
      </c>
      <c r="G65" s="6" t="s">
        <v>205</v>
      </c>
      <c r="H65" s="6" t="s">
        <v>206</v>
      </c>
      <c r="I65" s="6"/>
      <c r="J65" s="6" t="s">
        <v>286</v>
      </c>
      <c r="K65" s="6" t="s">
        <v>287</v>
      </c>
      <c r="L65" s="6">
        <v>4</v>
      </c>
      <c r="M65" s="6"/>
      <c r="N65" s="6"/>
      <c r="O65" s="6"/>
      <c r="P65" s="7"/>
      <c r="Q65" s="7">
        <f>P65*N65</f>
        <v>0</v>
      </c>
      <c r="R65" s="6"/>
    </row>
    <row r="66" spans="1:18" x14ac:dyDescent="0.25">
      <c r="A66" s="1"/>
      <c r="B66" s="8">
        <v>6</v>
      </c>
      <c r="C66" s="15" t="s">
        <v>83</v>
      </c>
      <c r="D66" s="12" t="s">
        <v>207</v>
      </c>
      <c r="E66" s="12" t="s">
        <v>208</v>
      </c>
      <c r="F66" s="12" t="s">
        <v>209</v>
      </c>
      <c r="G66" s="12" t="s">
        <v>210</v>
      </c>
      <c r="H66" s="12" t="s">
        <v>83</v>
      </c>
      <c r="I66" s="12"/>
      <c r="J66" s="12" t="s">
        <v>288</v>
      </c>
      <c r="K66" s="12"/>
      <c r="L66" s="12">
        <v>1</v>
      </c>
      <c r="M66" s="12"/>
      <c r="N66" s="12"/>
      <c r="O66" s="12"/>
      <c r="P66" s="13"/>
      <c r="Q66" s="13">
        <f t="shared" ref="Q66" si="27">P66*N66</f>
        <v>0</v>
      </c>
      <c r="R66" s="12"/>
    </row>
    <row r="67" spans="1:18" ht="24" x14ac:dyDescent="0.25">
      <c r="A67" s="1"/>
      <c r="B67" s="8">
        <v>7</v>
      </c>
      <c r="C67" s="14"/>
      <c r="D67" s="6" t="s">
        <v>211</v>
      </c>
      <c r="E67" s="6" t="s">
        <v>38</v>
      </c>
      <c r="F67" s="6" t="s">
        <v>56</v>
      </c>
      <c r="G67" s="6" t="s">
        <v>70</v>
      </c>
      <c r="H67" s="6" t="s">
        <v>84</v>
      </c>
      <c r="I67" s="6"/>
      <c r="J67" s="6" t="s">
        <v>96</v>
      </c>
      <c r="K67" s="6"/>
      <c r="L67" s="6">
        <v>10</v>
      </c>
      <c r="M67" s="6"/>
      <c r="N67" s="6"/>
      <c r="O67" s="6"/>
      <c r="P67" s="7"/>
      <c r="Q67" s="7">
        <f>P67*N67</f>
        <v>0</v>
      </c>
      <c r="R67" s="6"/>
    </row>
    <row r="68" spans="1:18" ht="36" x14ac:dyDescent="0.25">
      <c r="A68" s="1"/>
      <c r="B68" s="8">
        <v>8</v>
      </c>
      <c r="C68" s="15" t="s">
        <v>5</v>
      </c>
      <c r="D68" s="12" t="s">
        <v>212</v>
      </c>
      <c r="E68" s="12" t="s">
        <v>137</v>
      </c>
      <c r="F68" s="12" t="s">
        <v>138</v>
      </c>
      <c r="G68" s="12" t="s">
        <v>139</v>
      </c>
      <c r="H68" s="12" t="s">
        <v>140</v>
      </c>
      <c r="I68" s="12"/>
      <c r="J68" s="12" t="s">
        <v>176</v>
      </c>
      <c r="K68" s="12"/>
      <c r="L68" s="12">
        <v>1</v>
      </c>
      <c r="M68" s="12"/>
      <c r="N68" s="12"/>
      <c r="O68" s="12"/>
      <c r="P68" s="13"/>
      <c r="Q68" s="13">
        <f t="shared" ref="Q68" si="28">P68*N68</f>
        <v>0</v>
      </c>
      <c r="R68" s="12"/>
    </row>
    <row r="69" spans="1:18" x14ac:dyDescent="0.25">
      <c r="A69" s="1"/>
      <c r="B69" s="8">
        <v>9</v>
      </c>
      <c r="C69" s="14" t="s">
        <v>5</v>
      </c>
      <c r="D69" s="6" t="s">
        <v>213</v>
      </c>
      <c r="E69" s="6" t="s">
        <v>37</v>
      </c>
      <c r="F69" s="6" t="s">
        <v>55</v>
      </c>
      <c r="G69" s="6" t="s">
        <v>69</v>
      </c>
      <c r="H69" s="6" t="s">
        <v>83</v>
      </c>
      <c r="I69" s="6"/>
      <c r="J69" s="6" t="s">
        <v>95</v>
      </c>
      <c r="K69" s="6"/>
      <c r="L69" s="6">
        <v>1</v>
      </c>
      <c r="M69" s="6"/>
      <c r="N69" s="6"/>
      <c r="O69" s="6"/>
      <c r="P69" s="7"/>
      <c r="Q69" s="7">
        <f>P69*N69</f>
        <v>0</v>
      </c>
      <c r="R69" s="6"/>
    </row>
    <row r="70" spans="1:18" x14ac:dyDescent="0.25">
      <c r="A70" s="1"/>
      <c r="B70" s="8">
        <v>10</v>
      </c>
      <c r="C70" s="15" t="s">
        <v>5</v>
      </c>
      <c r="D70" s="12" t="s">
        <v>214</v>
      </c>
      <c r="E70" s="12" t="s">
        <v>215</v>
      </c>
      <c r="F70" s="12" t="s">
        <v>55</v>
      </c>
      <c r="G70" s="12" t="s">
        <v>216</v>
      </c>
      <c r="H70" s="12" t="s">
        <v>83</v>
      </c>
      <c r="I70" s="12"/>
      <c r="J70" s="12" t="s">
        <v>289</v>
      </c>
      <c r="K70" s="12"/>
      <c r="L70" s="12">
        <v>1</v>
      </c>
      <c r="M70" s="12"/>
      <c r="N70" s="12"/>
      <c r="O70" s="12"/>
      <c r="P70" s="13"/>
      <c r="Q70" s="13">
        <f t="shared" ref="Q70" si="29">P70*N70</f>
        <v>0</v>
      </c>
      <c r="R70" s="12"/>
    </row>
    <row r="71" spans="1:18" x14ac:dyDescent="0.25">
      <c r="A71" s="1"/>
      <c r="B71" s="8">
        <v>11</v>
      </c>
      <c r="C71" s="14" t="s">
        <v>6</v>
      </c>
      <c r="D71" s="6" t="s">
        <v>217</v>
      </c>
      <c r="E71" s="6" t="s">
        <v>39</v>
      </c>
      <c r="F71" s="6" t="s">
        <v>57</v>
      </c>
      <c r="G71" s="6">
        <v>742792641</v>
      </c>
      <c r="H71" s="6" t="s">
        <v>85</v>
      </c>
      <c r="I71" s="6"/>
      <c r="J71" s="6" t="s">
        <v>97</v>
      </c>
      <c r="K71" s="6" t="s">
        <v>178</v>
      </c>
      <c r="L71" s="6">
        <v>4</v>
      </c>
      <c r="M71" s="6"/>
      <c r="N71" s="6"/>
      <c r="O71" s="6"/>
      <c r="P71" s="7"/>
      <c r="Q71" s="7">
        <f>P71*N71</f>
        <v>0</v>
      </c>
      <c r="R71" s="6"/>
    </row>
    <row r="72" spans="1:18" x14ac:dyDescent="0.25">
      <c r="A72" s="1"/>
      <c r="B72" s="8">
        <v>12</v>
      </c>
      <c r="C72" s="15" t="s">
        <v>218</v>
      </c>
      <c r="D72" s="12" t="s">
        <v>219</v>
      </c>
      <c r="E72" s="12" t="s">
        <v>220</v>
      </c>
      <c r="F72" s="12" t="s">
        <v>221</v>
      </c>
      <c r="G72" s="12" t="s">
        <v>221</v>
      </c>
      <c r="H72" s="12" t="s">
        <v>222</v>
      </c>
      <c r="I72" s="12"/>
      <c r="J72" s="12" t="s">
        <v>290</v>
      </c>
      <c r="K72" s="12"/>
      <c r="L72" s="12">
        <v>1</v>
      </c>
      <c r="M72" s="12"/>
      <c r="N72" s="12"/>
      <c r="O72" s="12"/>
      <c r="P72" s="13"/>
      <c r="Q72" s="13">
        <f t="shared" ref="Q72" si="30">P72*N72</f>
        <v>0</v>
      </c>
      <c r="R72" s="12"/>
    </row>
    <row r="73" spans="1:18" x14ac:dyDescent="0.25">
      <c r="A73" s="1"/>
      <c r="B73" s="8">
        <v>13</v>
      </c>
      <c r="C73" s="14" t="s">
        <v>223</v>
      </c>
      <c r="D73" s="6" t="s">
        <v>224</v>
      </c>
      <c r="E73" s="6" t="s">
        <v>225</v>
      </c>
      <c r="F73" s="6">
        <v>1715721</v>
      </c>
      <c r="G73" s="6">
        <v>1715721</v>
      </c>
      <c r="H73" s="6" t="s">
        <v>226</v>
      </c>
      <c r="I73" s="16"/>
      <c r="J73" s="6"/>
      <c r="K73" s="6"/>
      <c r="L73" s="6">
        <v>1</v>
      </c>
      <c r="M73" s="16"/>
      <c r="N73" s="16"/>
      <c r="O73" s="16"/>
      <c r="P73" s="17"/>
      <c r="Q73" s="17"/>
      <c r="R73" s="19"/>
    </row>
    <row r="74" spans="1:18" ht="24" x14ac:dyDescent="0.25">
      <c r="A74" s="1"/>
      <c r="B74" s="8">
        <v>14</v>
      </c>
      <c r="C74" s="15" t="s">
        <v>227</v>
      </c>
      <c r="D74" s="12" t="s">
        <v>228</v>
      </c>
      <c r="E74" s="12" t="s">
        <v>229</v>
      </c>
      <c r="F74" s="12" t="s">
        <v>230</v>
      </c>
      <c r="G74" s="12" t="s">
        <v>231</v>
      </c>
      <c r="H74" s="12" t="s">
        <v>232</v>
      </c>
      <c r="I74" s="12"/>
      <c r="J74" s="12"/>
      <c r="K74" s="12"/>
      <c r="L74" s="12">
        <v>2</v>
      </c>
      <c r="M74" s="12"/>
      <c r="N74" s="12"/>
      <c r="O74" s="12"/>
      <c r="P74" s="13"/>
      <c r="Q74" s="13">
        <f t="shared" ref="Q74" si="31">P74*N74</f>
        <v>0</v>
      </c>
      <c r="R74" s="12"/>
    </row>
    <row r="75" spans="1:18" x14ac:dyDescent="0.25">
      <c r="A75" s="1"/>
      <c r="B75" s="8">
        <v>15</v>
      </c>
      <c r="C75" s="14" t="s">
        <v>233</v>
      </c>
      <c r="D75" s="6" t="s">
        <v>234</v>
      </c>
      <c r="E75" s="6" t="s">
        <v>235</v>
      </c>
      <c r="F75" s="6" t="s">
        <v>236</v>
      </c>
      <c r="G75" s="6" t="s">
        <v>237</v>
      </c>
      <c r="H75" s="6" t="s">
        <v>83</v>
      </c>
      <c r="I75" s="16"/>
      <c r="J75" s="6"/>
      <c r="K75" s="6"/>
      <c r="L75" s="6">
        <v>4</v>
      </c>
      <c r="M75" s="16"/>
      <c r="N75" s="16"/>
      <c r="O75" s="16"/>
      <c r="P75" s="17"/>
      <c r="Q75" s="17"/>
      <c r="R75" s="19"/>
    </row>
    <row r="76" spans="1:18" x14ac:dyDescent="0.25">
      <c r="A76" s="1"/>
      <c r="B76" s="8">
        <v>16</v>
      </c>
      <c r="C76" s="15" t="s">
        <v>10</v>
      </c>
      <c r="D76" s="12" t="s">
        <v>238</v>
      </c>
      <c r="E76" s="12" t="s">
        <v>239</v>
      </c>
      <c r="F76" s="12" t="s">
        <v>60</v>
      </c>
      <c r="G76" s="12" t="s">
        <v>240</v>
      </c>
      <c r="H76" s="12" t="s">
        <v>82</v>
      </c>
      <c r="I76" s="16"/>
      <c r="J76" s="12" t="s">
        <v>291</v>
      </c>
      <c r="K76" s="12" t="s">
        <v>292</v>
      </c>
      <c r="L76" s="12">
        <v>4</v>
      </c>
      <c r="M76" s="16"/>
      <c r="N76" s="16"/>
      <c r="O76" s="16"/>
      <c r="P76" s="17"/>
      <c r="Q76" s="17"/>
      <c r="R76" s="19"/>
    </row>
    <row r="77" spans="1:18" x14ac:dyDescent="0.25">
      <c r="A77" s="1"/>
      <c r="B77" s="8">
        <v>17</v>
      </c>
      <c r="C77" s="14" t="s">
        <v>9</v>
      </c>
      <c r="D77" s="6" t="s">
        <v>241</v>
      </c>
      <c r="E77" s="6" t="s">
        <v>42</v>
      </c>
      <c r="F77" s="6" t="s">
        <v>60</v>
      </c>
      <c r="G77" s="6" t="s">
        <v>72</v>
      </c>
      <c r="H77" s="6" t="s">
        <v>82</v>
      </c>
      <c r="I77" s="16"/>
      <c r="J77" s="6" t="s">
        <v>99</v>
      </c>
      <c r="K77" s="6" t="s">
        <v>111</v>
      </c>
      <c r="L77" s="6">
        <v>2</v>
      </c>
      <c r="M77" s="16"/>
      <c r="N77" s="16"/>
      <c r="O77" s="16"/>
      <c r="P77" s="17"/>
      <c r="Q77" s="17"/>
      <c r="R77" s="19"/>
    </row>
    <row r="78" spans="1:18" x14ac:dyDescent="0.25">
      <c r="A78" s="1"/>
      <c r="B78" s="8">
        <v>18</v>
      </c>
      <c r="C78" s="15" t="s">
        <v>10</v>
      </c>
      <c r="D78" s="12" t="s">
        <v>242</v>
      </c>
      <c r="E78" s="12" t="s">
        <v>43</v>
      </c>
      <c r="F78" s="12" t="s">
        <v>60</v>
      </c>
      <c r="G78" s="12" t="s">
        <v>73</v>
      </c>
      <c r="H78" s="12" t="s">
        <v>82</v>
      </c>
      <c r="I78" s="16"/>
      <c r="J78" s="12" t="s">
        <v>100</v>
      </c>
      <c r="K78" s="12" t="s">
        <v>112</v>
      </c>
      <c r="L78" s="12">
        <v>2</v>
      </c>
      <c r="M78" s="16"/>
      <c r="N78" s="16"/>
      <c r="O78" s="16"/>
      <c r="P78" s="17"/>
      <c r="Q78" s="17"/>
      <c r="R78" s="19"/>
    </row>
    <row r="79" spans="1:18" ht="24" x14ac:dyDescent="0.25">
      <c r="A79" s="1"/>
      <c r="B79" s="8">
        <v>19</v>
      </c>
      <c r="C79" s="14" t="s">
        <v>10</v>
      </c>
      <c r="D79" s="6" t="s">
        <v>243</v>
      </c>
      <c r="E79" s="6" t="s">
        <v>49</v>
      </c>
      <c r="F79" s="6" t="s">
        <v>60</v>
      </c>
      <c r="G79" s="6" t="s">
        <v>79</v>
      </c>
      <c r="H79" s="6" t="s">
        <v>82</v>
      </c>
      <c r="I79" s="16"/>
      <c r="J79" s="6" t="s">
        <v>106</v>
      </c>
      <c r="K79" s="6" t="s">
        <v>117</v>
      </c>
      <c r="L79" s="6">
        <v>8</v>
      </c>
      <c r="M79" s="16"/>
      <c r="N79" s="16"/>
      <c r="O79" s="16"/>
      <c r="P79" s="17"/>
      <c r="Q79" s="17"/>
      <c r="R79" s="19"/>
    </row>
    <row r="80" spans="1:18" x14ac:dyDescent="0.25">
      <c r="A80" s="1"/>
      <c r="B80" s="8">
        <v>20</v>
      </c>
      <c r="C80" s="15" t="s">
        <v>10</v>
      </c>
      <c r="D80" s="12" t="s">
        <v>244</v>
      </c>
      <c r="E80" s="12" t="s">
        <v>245</v>
      </c>
      <c r="F80" s="12" t="s">
        <v>246</v>
      </c>
      <c r="G80" s="12" t="s">
        <v>247</v>
      </c>
      <c r="H80" s="12" t="s">
        <v>82</v>
      </c>
      <c r="I80" s="18"/>
      <c r="J80" s="12" t="s">
        <v>293</v>
      </c>
      <c r="K80" s="12" t="s">
        <v>294</v>
      </c>
      <c r="L80" s="12">
        <v>2</v>
      </c>
      <c r="M80" s="18"/>
      <c r="N80" s="16"/>
      <c r="O80" s="16"/>
      <c r="P80" s="17"/>
      <c r="Q80" s="17"/>
      <c r="R80" s="19"/>
    </row>
    <row r="81" spans="1:18" x14ac:dyDescent="0.25">
      <c r="A81" s="1"/>
      <c r="B81" s="8">
        <v>21</v>
      </c>
      <c r="C81" s="14" t="s">
        <v>10</v>
      </c>
      <c r="D81" s="6" t="s">
        <v>248</v>
      </c>
      <c r="E81" s="6" t="s">
        <v>249</v>
      </c>
      <c r="F81" s="6" t="s">
        <v>60</v>
      </c>
      <c r="G81" s="6" t="s">
        <v>250</v>
      </c>
      <c r="H81" s="6" t="s">
        <v>82</v>
      </c>
      <c r="I81" s="18"/>
      <c r="J81" s="6" t="s">
        <v>295</v>
      </c>
      <c r="K81" s="6" t="s">
        <v>296</v>
      </c>
      <c r="L81" s="6">
        <v>4</v>
      </c>
      <c r="M81" s="18"/>
      <c r="N81" s="16"/>
      <c r="O81" s="16"/>
      <c r="P81" s="17"/>
      <c r="Q81" s="17"/>
      <c r="R81" s="19"/>
    </row>
    <row r="82" spans="1:18" ht="36" x14ac:dyDescent="0.25">
      <c r="A82" s="1"/>
      <c r="B82" s="8">
        <v>22</v>
      </c>
      <c r="C82" s="15" t="s">
        <v>10</v>
      </c>
      <c r="D82" s="12" t="s">
        <v>251</v>
      </c>
      <c r="E82" s="12" t="s">
        <v>252</v>
      </c>
      <c r="F82" s="12" t="s">
        <v>246</v>
      </c>
      <c r="G82" s="12" t="s">
        <v>253</v>
      </c>
      <c r="H82" s="12" t="s">
        <v>254</v>
      </c>
      <c r="I82" s="18"/>
      <c r="J82" s="12" t="s">
        <v>297</v>
      </c>
      <c r="K82" s="12" t="s">
        <v>298</v>
      </c>
      <c r="L82" s="12">
        <v>1</v>
      </c>
      <c r="M82" s="18"/>
      <c r="N82" s="16"/>
      <c r="O82" s="16"/>
      <c r="P82" s="17"/>
      <c r="Q82" s="17"/>
      <c r="R82" s="19"/>
    </row>
    <row r="83" spans="1:18" x14ac:dyDescent="0.25">
      <c r="B83" s="8">
        <v>23</v>
      </c>
      <c r="C83" s="14" t="s">
        <v>10</v>
      </c>
      <c r="D83" s="6" t="s">
        <v>255</v>
      </c>
      <c r="E83" s="6" t="s">
        <v>256</v>
      </c>
      <c r="F83" s="6" t="s">
        <v>246</v>
      </c>
      <c r="G83" s="6" t="s">
        <v>257</v>
      </c>
      <c r="H83" s="6" t="s">
        <v>82</v>
      </c>
      <c r="I83" s="18"/>
      <c r="J83" s="6" t="s">
        <v>299</v>
      </c>
      <c r="K83" s="6" t="s">
        <v>300</v>
      </c>
      <c r="L83" s="6">
        <v>1</v>
      </c>
      <c r="M83" s="18"/>
      <c r="N83" s="16"/>
      <c r="O83" s="16"/>
      <c r="P83" s="17"/>
      <c r="Q83" s="17"/>
      <c r="R83" s="19"/>
    </row>
    <row r="84" spans="1:18" x14ac:dyDescent="0.25">
      <c r="B84" s="8">
        <v>24</v>
      </c>
      <c r="C84" s="15" t="s">
        <v>10</v>
      </c>
      <c r="D84" s="12" t="s">
        <v>258</v>
      </c>
      <c r="E84" s="12" t="s">
        <v>259</v>
      </c>
      <c r="F84" s="12" t="s">
        <v>246</v>
      </c>
      <c r="G84" s="12" t="s">
        <v>260</v>
      </c>
      <c r="H84" s="12" t="s">
        <v>82</v>
      </c>
      <c r="I84" s="18"/>
      <c r="J84" s="12" t="s">
        <v>301</v>
      </c>
      <c r="K84" s="12" t="s">
        <v>302</v>
      </c>
      <c r="L84" s="12">
        <v>5</v>
      </c>
      <c r="M84" s="18"/>
      <c r="N84" s="16"/>
      <c r="O84" s="16"/>
      <c r="P84" s="17"/>
      <c r="Q84" s="17"/>
      <c r="R84" s="19"/>
    </row>
    <row r="85" spans="1:18" x14ac:dyDescent="0.25">
      <c r="B85" s="8">
        <v>25</v>
      </c>
      <c r="C85" s="14" t="s">
        <v>10</v>
      </c>
      <c r="D85" s="6" t="s">
        <v>261</v>
      </c>
      <c r="E85" s="6" t="s">
        <v>262</v>
      </c>
      <c r="F85" s="6" t="s">
        <v>246</v>
      </c>
      <c r="G85" s="6" t="s">
        <v>263</v>
      </c>
      <c r="H85" s="6" t="s">
        <v>82</v>
      </c>
      <c r="I85" s="18"/>
      <c r="J85" s="6" t="s">
        <v>303</v>
      </c>
      <c r="K85" s="6" t="s">
        <v>304</v>
      </c>
      <c r="L85" s="6">
        <v>1</v>
      </c>
      <c r="M85" s="18"/>
      <c r="N85" s="16"/>
      <c r="O85" s="16"/>
      <c r="P85" s="17"/>
      <c r="Q85" s="17"/>
      <c r="R85" s="19"/>
    </row>
    <row r="86" spans="1:18" x14ac:dyDescent="0.25">
      <c r="B86" s="8">
        <v>26</v>
      </c>
      <c r="C86" s="15" t="s">
        <v>9</v>
      </c>
      <c r="D86" s="12" t="s">
        <v>264</v>
      </c>
      <c r="E86" s="12" t="s">
        <v>265</v>
      </c>
      <c r="F86" s="12" t="s">
        <v>246</v>
      </c>
      <c r="G86" s="12" t="s">
        <v>266</v>
      </c>
      <c r="H86" s="12" t="s">
        <v>82</v>
      </c>
      <c r="I86" s="18"/>
      <c r="J86" s="12" t="s">
        <v>305</v>
      </c>
      <c r="K86" s="12" t="s">
        <v>306</v>
      </c>
      <c r="L86" s="12">
        <v>1</v>
      </c>
      <c r="M86" s="18"/>
      <c r="N86" s="16"/>
      <c r="O86" s="16"/>
      <c r="P86" s="17"/>
      <c r="Q86" s="17"/>
      <c r="R86" s="19"/>
    </row>
    <row r="87" spans="1:18" x14ac:dyDescent="0.25">
      <c r="B87" s="8">
        <v>27</v>
      </c>
      <c r="C87" s="14" t="s">
        <v>267</v>
      </c>
      <c r="D87" s="6" t="s">
        <v>268</v>
      </c>
      <c r="E87" s="6" t="s">
        <v>269</v>
      </c>
      <c r="F87" s="6" t="s">
        <v>270</v>
      </c>
      <c r="G87" s="6" t="s">
        <v>270</v>
      </c>
      <c r="H87" s="6" t="s">
        <v>271</v>
      </c>
      <c r="I87" s="18"/>
      <c r="J87" s="6" t="s">
        <v>307</v>
      </c>
      <c r="K87" s="6" t="s">
        <v>308</v>
      </c>
      <c r="L87" s="6">
        <v>1</v>
      </c>
      <c r="M87" s="18"/>
      <c r="N87" s="16"/>
      <c r="O87" s="16"/>
      <c r="P87" s="17"/>
      <c r="Q87" s="17"/>
      <c r="R87" s="19"/>
    </row>
    <row r="88" spans="1:18" x14ac:dyDescent="0.25">
      <c r="B88" s="8">
        <v>28</v>
      </c>
      <c r="C88" s="15" t="s">
        <v>10</v>
      </c>
      <c r="D88" s="12" t="s">
        <v>272</v>
      </c>
      <c r="E88" s="12" t="s">
        <v>273</v>
      </c>
      <c r="F88" s="12" t="s">
        <v>246</v>
      </c>
      <c r="G88" s="12" t="s">
        <v>274</v>
      </c>
      <c r="H88" s="12" t="s">
        <v>82</v>
      </c>
      <c r="I88" s="18"/>
      <c r="J88" s="12" t="s">
        <v>309</v>
      </c>
      <c r="K88" s="12" t="s">
        <v>184</v>
      </c>
      <c r="L88" s="12">
        <v>1</v>
      </c>
      <c r="M88" s="18"/>
      <c r="N88" s="16"/>
      <c r="O88" s="16"/>
      <c r="P88" s="17"/>
      <c r="Q88" s="17"/>
      <c r="R88" s="19"/>
    </row>
    <row r="89" spans="1:18" x14ac:dyDescent="0.25">
      <c r="B89" s="8">
        <v>29</v>
      </c>
      <c r="C89" s="14" t="s">
        <v>275</v>
      </c>
      <c r="D89" s="6" t="s">
        <v>276</v>
      </c>
      <c r="E89" s="6" t="s">
        <v>277</v>
      </c>
      <c r="F89" s="6">
        <v>7490220122</v>
      </c>
      <c r="G89" s="6">
        <v>7490220122</v>
      </c>
      <c r="H89" s="6" t="s">
        <v>85</v>
      </c>
      <c r="I89" s="18"/>
      <c r="J89" s="6"/>
      <c r="K89" s="6"/>
      <c r="L89" s="6">
        <v>1</v>
      </c>
      <c r="M89" s="18"/>
      <c r="N89" s="16"/>
      <c r="O89" s="16"/>
      <c r="P89" s="17"/>
      <c r="Q89" s="17"/>
      <c r="R89" s="19"/>
    </row>
    <row r="90" spans="1:18" ht="15.75" thickBot="1" x14ac:dyDescent="0.3">
      <c r="B90" s="8">
        <v>30</v>
      </c>
      <c r="C90" s="15" t="s">
        <v>8</v>
      </c>
      <c r="D90" s="12" t="s">
        <v>278</v>
      </c>
      <c r="E90" s="12" t="s">
        <v>279</v>
      </c>
      <c r="F90" s="12" t="s">
        <v>280</v>
      </c>
      <c r="G90" s="12" t="s">
        <v>281</v>
      </c>
      <c r="H90" s="12" t="s">
        <v>87</v>
      </c>
      <c r="I90" s="18"/>
      <c r="J90" s="12" t="s">
        <v>310</v>
      </c>
      <c r="K90" s="12"/>
      <c r="L90" s="12">
        <v>1</v>
      </c>
      <c r="M90" s="18"/>
      <c r="N90" s="16"/>
      <c r="O90" s="16"/>
      <c r="P90" s="17"/>
      <c r="Q90" s="17"/>
      <c r="R90" s="19"/>
    </row>
    <row r="91" spans="1:18" ht="19.5" thickBot="1" x14ac:dyDescent="0.3">
      <c r="N91" s="24" t="s">
        <v>1</v>
      </c>
      <c r="O91" s="25"/>
      <c r="P91" s="25"/>
      <c r="Q91" s="10" t="e">
        <f>SUM(#REF!)</f>
        <v>#REF!</v>
      </c>
    </row>
    <row r="92" spans="1:18" ht="19.5" thickBot="1" x14ac:dyDescent="0.3">
      <c r="N92" s="24" t="s">
        <v>2</v>
      </c>
      <c r="O92" s="25"/>
      <c r="P92" s="25"/>
      <c r="Q92" s="11" t="e">
        <f>Q91/5</f>
        <v>#REF!</v>
      </c>
    </row>
  </sheetData>
  <mergeCells count="12">
    <mergeCell ref="N92:P92"/>
    <mergeCell ref="K56:R56"/>
    <mergeCell ref="G58:I58"/>
    <mergeCell ref="N91:P91"/>
    <mergeCell ref="K30:R30"/>
    <mergeCell ref="G32:I32"/>
    <mergeCell ref="N51:P51"/>
    <mergeCell ref="N52:P52"/>
    <mergeCell ref="K1:R1"/>
    <mergeCell ref="N25:P25"/>
    <mergeCell ref="N26:P26"/>
    <mergeCell ref="G3:I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2024-08-20T14:53:58Z</dcterms:modified>
</cp:coreProperties>
</file>